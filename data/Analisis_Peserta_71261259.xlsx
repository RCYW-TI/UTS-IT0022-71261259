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UTS_IT0022_71261259\data\"/>
    </mc:Choice>
  </mc:AlternateContent>
  <xr:revisionPtr revIDLastSave="0" documentId="13_ncr:1_{8E7BBE1C-0917-4645-B859-DF8461EE480B}" xr6:coauthVersionLast="47" xr6:coauthVersionMax="47" xr10:uidLastSave="{00000000-0000-0000-0000-000000000000}"/>
  <bookViews>
    <workbookView xWindow="0" yWindow="4185" windowWidth="21600" windowHeight="11295" activeTab="1" xr2:uid="{F50A1EEF-7038-4FFD-8C2C-A63D5BA7C66B}"/>
  </bookViews>
  <sheets>
    <sheet name="Data_Mentah" sheetId="1" r:id="rId1"/>
    <sheet name="Data_Bersih" sheetId="2" r:id="rId2"/>
  </sheets>
  <definedNames>
    <definedName name="_xlchart.v1.0" hidden="1">Data_Bersih!$L$2:$L$27</definedName>
  </definedName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3" i="2"/>
  <c r="K2" i="2"/>
  <c r="K3" i="2"/>
  <c r="K4" i="2"/>
  <c r="K5" i="2"/>
  <c r="K6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7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" i="2"/>
</calcChain>
</file>

<file path=xl/sharedStrings.xml><?xml version="1.0" encoding="utf-8"?>
<sst xmlns="http://schemas.openxmlformats.org/spreadsheetml/2006/main" count="265" uniqueCount="94">
  <si>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</si>
  <si>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</si>
  <si>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</si>
  <si>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</si>
  <si>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</si>
  <si>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</si>
  <si>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</si>
  <si>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</si>
  <si>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</si>
  <si>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</si>
  <si>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</si>
  <si>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</si>
  <si>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</si>
  <si>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</si>
  <si>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</si>
  <si>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</si>
  <si>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</si>
  <si>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</si>
  <si>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</si>
  <si>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</si>
  <si>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</si>
  <si>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</si>
  <si>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</si>
  <si>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</si>
  <si>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</si>
  <si>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</si>
  <si>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Peserta 01</t>
  </si>
  <si>
    <t>Peserta 02</t>
  </si>
  <si>
    <t>Peserta 03</t>
  </si>
  <si>
    <t>Peserta 04</t>
  </si>
  <si>
    <t>Peserta 05</t>
  </si>
  <si>
    <t>Peserta 06</t>
  </si>
  <si>
    <t>Peserta 07</t>
  </si>
  <si>
    <t>Peserta 08</t>
  </si>
  <si>
    <t>Peserta 09</t>
  </si>
  <si>
    <t>Peserta 10</t>
  </si>
  <si>
    <t>Peserta 11</t>
  </si>
  <si>
    <t>Peserta 12</t>
  </si>
  <si>
    <t>Peserta 13</t>
  </si>
  <si>
    <t>Peserta 14</t>
  </si>
  <si>
    <t>Peserta 15</t>
  </si>
  <si>
    <t>Peserta 16</t>
  </si>
  <si>
    <t>Peserta 17</t>
  </si>
  <si>
    <t>Peserta 18</t>
  </si>
  <si>
    <t>Peserta 19</t>
  </si>
  <si>
    <t>Peserta 20</t>
  </si>
  <si>
    <t>Peserta 21</t>
  </si>
  <si>
    <t>Peserta 22</t>
  </si>
  <si>
    <t>Peserta 23</t>
  </si>
  <si>
    <t>Peserta 24</t>
  </si>
  <si>
    <t>Peserta 25</t>
  </si>
  <si>
    <t>Peserta 26</t>
  </si>
  <si>
    <t>Informatika</t>
  </si>
  <si>
    <t>Sistem Informasi</t>
  </si>
  <si>
    <t>Manajemen</t>
  </si>
  <si>
    <t>Akuntansi</t>
  </si>
  <si>
    <t>IF</t>
  </si>
  <si>
    <t>Desain Produk</t>
  </si>
  <si>
    <t>Sistem informasi</t>
  </si>
  <si>
    <t>SI</t>
  </si>
  <si>
    <t>Hadir</t>
  </si>
  <si>
    <t>Terlambat</t>
  </si>
  <si>
    <t>Tidak Hadir</t>
  </si>
  <si>
    <t>ID</t>
  </si>
  <si>
    <t>Nama Peserta</t>
  </si>
  <si>
    <t>Program Studi</t>
  </si>
  <si>
    <t>Angkatan</t>
  </si>
  <si>
    <t>Kehadiran</t>
  </si>
  <si>
    <t>Pretest</t>
  </si>
  <si>
    <t>Posttest</t>
  </si>
  <si>
    <t>Durasi (menit)</t>
  </si>
  <si>
    <t>Modul Selesai</t>
  </si>
  <si>
    <t>Kepuasan</t>
  </si>
  <si>
    <t>Status Sertifikat</t>
  </si>
  <si>
    <t>90 menit</t>
  </si>
  <si>
    <t>empat</t>
  </si>
  <si>
    <t>Presentase Peningkatan</t>
  </si>
  <si>
    <t>Row Labels</t>
  </si>
  <si>
    <t>Grand Total</t>
  </si>
  <si>
    <t>Rata-Rata Nilai</t>
  </si>
  <si>
    <t>Analisis</t>
  </si>
  <si>
    <t>Bagus</t>
  </si>
  <si>
    <t>Cukup</t>
  </si>
  <si>
    <t>Harus Diperbaiki</t>
  </si>
  <si>
    <t>Count of Keterangan</t>
  </si>
  <si>
    <t>Column Labels</t>
  </si>
  <si>
    <t>1. Sekitar 19% mahasiswa yang membutuhkan perbaikan pada kemampuan belajar</t>
  </si>
  <si>
    <t>Kemampuan Belajar</t>
  </si>
  <si>
    <t>Lulus</t>
  </si>
  <si>
    <t>Tidak Lulus</t>
  </si>
  <si>
    <t>Count of Status Sertifikat</t>
  </si>
  <si>
    <t>3. Disarankan mahasiswa Sistem Informasi diberikan pembinaan mengenai cara belajar yang baik dan efektif, melihat dari jumlah mahasiswa yang tidak lulus</t>
  </si>
  <si>
    <t>2. Banyak mahasiswa yang mengalami peningkatan nilai setelah mendapat materi, terlihat dari perbedaan nilai pretest dan post test</t>
  </si>
  <si>
    <t>Penemuan yang didapat: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</si>
</sst>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 applyAlignment="1">
      <alignment wrapText="1"/>
    </xf>
    <xf numFmtId="0" fontId="0" fillId="0" borderId="1" xfId="0" applyBorder="1"/>
    <xf numFmtId="9" fontId="0" fillId="0" borderId="1" xfId="0" applyNumberFormat="1" applyBorder="1"/>
    <xf numFmtId="0" fontId="0" fillId="0" borderId="1" xfId="1" applyNumberFormat="1" applyFont="1" applyBorder="1"/>
    <xf numFmtId="10" fontId="0" fillId="0" borderId="1" xfId="1" applyNumberFormat="1" applyFont="1" applyBorder="1"/>
    <xf numFmtId="9" fontId="0" fillId="0" borderId="1" xfId="1" applyFont="1" applyBorder="1"/>
    <xf numFmtId="0" fontId="0" fillId="0" borderId="2" xfId="0" applyFill="1" applyBorder="1"/>
    <xf numFmtId="0" fontId="0" fillId="0" borderId="0" xfId="0" applyFill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Presentase Kemampuan belajar Mahasiswa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EA7-4B92-ACB1-EBA732C6F0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EA7-4B92-ACB1-EBA732C6F0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EA7-4B92-ACB1-EBA732C6F0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Bagus</c:v>
              </c:pt>
              <c:pt idx="1">
                <c:v>Cukup</c:v>
              </c:pt>
              <c:pt idx="2">
                <c:v>Harus Diperbaiki</c:v>
              </c:pt>
            </c:strLit>
          </c:cat>
          <c:val>
            <c:numLit>
              <c:formatCode>General</c:formatCode>
              <c:ptCount val="3"/>
              <c:pt idx="0">
                <c:v>6</c:v>
              </c:pt>
              <c:pt idx="1">
                <c:v>15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C-8113-4574-8680-1C90FE225E2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Rata-Rata Nilai Test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Rata-Rata Nilai Test</a:t>
          </a:r>
        </a:p>
      </cx:txPr>
    </cx:title>
    <cx:plotArea>
      <cx:plotAreaRegion>
        <cx:series layoutId="clusteredColumn" uniqueId="{E1066587-8325-4428-B66E-B0F943C5802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30</xdr:row>
      <xdr:rowOff>23812</xdr:rowOff>
    </xdr:from>
    <xdr:to>
      <xdr:col>13</xdr:col>
      <xdr:colOff>200025</xdr:colOff>
      <xdr:row>44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AB63780-1A5B-D077-ADA2-05F35FB016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24700" y="5891212"/>
              <a:ext cx="51054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514350</xdr:colOff>
      <xdr:row>28</xdr:row>
      <xdr:rowOff>128587</xdr:rowOff>
    </xdr:from>
    <xdr:to>
      <xdr:col>17</xdr:col>
      <xdr:colOff>419100</xdr:colOff>
      <xdr:row>45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C13651-DEF1-90D6-8497-0096C754C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KDW E-01" refreshedDate="46317.688186111111" createdVersion="8" refreshedVersion="8" minRefreshableVersion="3" recordCount="26" xr:uid="{65A6D538-B63E-467D-A5AB-DA6DB413C66F}">
  <cacheSource type="worksheet">
    <worksheetSource ref="B1:N27" sheet="Data_Bersih"/>
  </cacheSource>
  <cacheFields count="13">
    <cacheField name="Nama Peserta" numFmtId="0">
      <sharedItems/>
    </cacheField>
    <cacheField name="Program Studi" numFmtId="0">
      <sharedItems count="5">
        <s v="Informatika"/>
        <s v="Sistem Informasi"/>
        <s v="Manajemen"/>
        <s v="Akuntansi"/>
        <s v="Desain Produk"/>
      </sharedItems>
    </cacheField>
    <cacheField name="Angkatan" numFmtId="0">
      <sharedItems containsSemiMixedTypes="0" containsString="0" containsNumber="1" containsInteger="1" minValue="2022" maxValue="2025" count="4">
        <n v="2023"/>
        <n v="2024"/>
        <n v="2025"/>
        <n v="2022"/>
      </sharedItems>
    </cacheField>
    <cacheField name="Kehadiran" numFmtId="0">
      <sharedItems count="3">
        <s v="Hadir"/>
        <s v="Terlambat"/>
        <s v="Tidak Hadir"/>
      </sharedItems>
    </cacheField>
    <cacheField name="Pretest" numFmtId="0">
      <sharedItems containsSemiMixedTypes="0" containsString="0" containsNumber="1" containsInteger="1" minValue="47" maxValue="85"/>
    </cacheField>
    <cacheField name="Posttest" numFmtId="0">
      <sharedItems containsSemiMixedTypes="0" containsString="0" containsNumber="1" containsInteger="1" minValue="50" maxValue="100"/>
    </cacheField>
    <cacheField name="Durasi (menit)" numFmtId="0">
      <sharedItems containsSemiMixedTypes="0" containsString="0" containsNumber="1" containsInteger="1" minValue="39" maxValue="124"/>
    </cacheField>
    <cacheField name="Modul Selesai" numFmtId="9">
      <sharedItems containsSemiMixedTypes="0" containsString="0" containsNumber="1" minValue="0.65" maxValue="1"/>
    </cacheField>
    <cacheField name="Kepuasan" numFmtId="0">
      <sharedItems containsSemiMixedTypes="0" containsString="0" containsNumber="1" containsInteger="1" minValue="2" maxValue="5"/>
    </cacheField>
    <cacheField name="Status Sertifikat" numFmtId="0">
      <sharedItems/>
    </cacheField>
    <cacheField name="Rata-Rata Nilai" numFmtId="0">
      <sharedItems containsSemiMixedTypes="0" containsString="0" containsNumber="1" minValue="48.5" maxValue="91"/>
    </cacheField>
    <cacheField name="Presentase Peningkatan" numFmtId="10">
      <sharedItems containsSemiMixedTypes="0" containsString="0" containsNumber="1" minValue="-6.0606060606060608E-2" maxValue="0.29069767441860467" count="26">
        <n v="6.3291139240506333E-2"/>
        <n v="0"/>
        <n v="-1.6666666666666666E-2"/>
        <n v="0.2839506172839506"/>
        <n v="0.20512820512820512"/>
        <n v="0.2"/>
        <n v="-6.0606060606060608E-2"/>
        <n v="0.2608695652173913"/>
        <n v="0.15789473684210525"/>
        <n v="0.19047619047619047"/>
        <n v="2.2988505747126436E-2"/>
        <n v="0.06"/>
        <n v="8.6419753086419748E-2"/>
        <n v="0.29069767441860467"/>
        <n v="0.15384615384615385"/>
        <n v="0.16494845360824742"/>
        <n v="0.13846153846153847"/>
        <n v="3.125E-2"/>
        <n v="0.19480519480519481"/>
        <n v="4.5454545454545456E-2"/>
        <n v="3.7037037037037035E-2"/>
        <n v="0.18"/>
        <n v="0.16853932584269662"/>
        <n v="0.25"/>
        <n v="0.27160493827160492"/>
        <n v="0.27397260273972601"/>
      </sharedItems>
    </cacheField>
    <cacheField name="Keterangan" numFmtId="0">
      <sharedItems count="3">
        <s v="Bagus"/>
        <s v="Harus Diperbaiki"/>
        <s v="Cuku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KDW E-01" refreshedDate="46317.703797106478" createdVersion="8" refreshedVersion="8" minRefreshableVersion="3" recordCount="26" xr:uid="{0E86D1BA-D8F3-4E61-95C2-F8A3989410A1}">
  <cacheSource type="worksheet">
    <worksheetSource ref="A1:N27" sheet="Data_Bersih"/>
  </cacheSource>
  <cacheFields count="14">
    <cacheField name="ID" numFmtId="0">
      <sharedItems/>
    </cacheField>
    <cacheField name="Nama Peserta" numFmtId="0">
      <sharedItems/>
    </cacheField>
    <cacheField name="Program Studi" numFmtId="0">
      <sharedItems count="5">
        <s v="Informatika"/>
        <s v="Sistem Informasi"/>
        <s v="Manajemen"/>
        <s v="Akuntansi"/>
        <s v="Desain Produk"/>
      </sharedItems>
    </cacheField>
    <cacheField name="Angkatan" numFmtId="0">
      <sharedItems containsSemiMixedTypes="0" containsString="0" containsNumber="1" containsInteger="1" minValue="2022" maxValue="2025"/>
    </cacheField>
    <cacheField name="Kehadiran" numFmtId="0">
      <sharedItems/>
    </cacheField>
    <cacheField name="Pretest" numFmtId="0">
      <sharedItems containsSemiMixedTypes="0" containsString="0" containsNumber="1" containsInteger="1" minValue="47" maxValue="85"/>
    </cacheField>
    <cacheField name="Posttest" numFmtId="0">
      <sharedItems containsSemiMixedTypes="0" containsString="0" containsNumber="1" containsInteger="1" minValue="50" maxValue="100"/>
    </cacheField>
    <cacheField name="Durasi (menit)" numFmtId="0">
      <sharedItems containsSemiMixedTypes="0" containsString="0" containsNumber="1" containsInteger="1" minValue="39" maxValue="124"/>
    </cacheField>
    <cacheField name="Modul Selesai" numFmtId="9">
      <sharedItems containsSemiMixedTypes="0" containsString="0" containsNumber="1" minValue="0.65" maxValue="1"/>
    </cacheField>
    <cacheField name="Kepuasan" numFmtId="0">
      <sharedItems containsSemiMixedTypes="0" containsString="0" containsNumber="1" containsInteger="1" minValue="2" maxValue="5"/>
    </cacheField>
    <cacheField name="Status Sertifikat" numFmtId="0">
      <sharedItems count="2">
        <s v="Lulus"/>
        <s v="Tidak Lulus"/>
      </sharedItems>
    </cacheField>
    <cacheField name="Rata-Rata Nilai" numFmtId="0">
      <sharedItems containsSemiMixedTypes="0" containsString="0" containsNumber="1" minValue="48.5" maxValue="91"/>
    </cacheField>
    <cacheField name="Presentase Peningkatan" numFmtId="10">
      <sharedItems containsSemiMixedTypes="0" containsString="0" containsNumber="1" minValue="-6.0606060606060608E-2" maxValue="0.29069767441860467"/>
    </cacheField>
    <cacheField name="Kemampuan Belaj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Peserta 01"/>
    <x v="0"/>
    <x v="0"/>
    <x v="0"/>
    <n v="74"/>
    <n v="79"/>
    <n v="66"/>
    <n v="1"/>
    <n v="2"/>
    <s v="Lulus"/>
    <n v="76.5"/>
    <x v="0"/>
    <x v="0"/>
  </r>
  <r>
    <s v="Peserta 02"/>
    <x v="1"/>
    <x v="1"/>
    <x v="0"/>
    <n v="66"/>
    <n v="66"/>
    <n v="65"/>
    <n v="0.7"/>
    <n v="2"/>
    <s v="Tidak Lulus"/>
    <n v="66"/>
    <x v="1"/>
    <x v="1"/>
  </r>
  <r>
    <s v="Peserta 03"/>
    <x v="0"/>
    <x v="2"/>
    <x v="1"/>
    <n v="61"/>
    <n v="60"/>
    <n v="124"/>
    <n v="0.85"/>
    <n v="4"/>
    <s v="Lulus"/>
    <n v="60.5"/>
    <x v="2"/>
    <x v="2"/>
  </r>
  <r>
    <s v="Peserta 04"/>
    <x v="2"/>
    <x v="3"/>
    <x v="0"/>
    <n v="58"/>
    <n v="81"/>
    <n v="42"/>
    <n v="0.85"/>
    <n v="4"/>
    <s v="Lulus"/>
    <n v="69.5"/>
    <x v="3"/>
    <x v="2"/>
  </r>
  <r>
    <s v="Peserta 05"/>
    <x v="3"/>
    <x v="0"/>
    <x v="2"/>
    <n v="62"/>
    <n v="78"/>
    <n v="111"/>
    <n v="1"/>
    <n v="5"/>
    <s v="Lulus"/>
    <n v="70"/>
    <x v="4"/>
    <x v="2"/>
  </r>
  <r>
    <s v="Peserta 06"/>
    <x v="0"/>
    <x v="1"/>
    <x v="0"/>
    <n v="80"/>
    <n v="100"/>
    <n v="42"/>
    <n v="0.75"/>
    <n v="3"/>
    <s v="Tidak Lulus"/>
    <n v="90"/>
    <x v="5"/>
    <x v="2"/>
  </r>
  <r>
    <s v="Peserta 07"/>
    <x v="1"/>
    <x v="2"/>
    <x v="0"/>
    <n v="70"/>
    <n v="66"/>
    <n v="101"/>
    <n v="0.85"/>
    <n v="4"/>
    <s v="Lulus"/>
    <n v="68"/>
    <x v="6"/>
    <x v="2"/>
  </r>
  <r>
    <s v="Peserta 08"/>
    <x v="4"/>
    <x v="3"/>
    <x v="0"/>
    <n v="51"/>
    <n v="69"/>
    <n v="44"/>
    <n v="0.8"/>
    <n v="5"/>
    <s v="Lulus"/>
    <n v="60"/>
    <x v="7"/>
    <x v="1"/>
  </r>
  <r>
    <s v="Peserta 09"/>
    <x v="1"/>
    <x v="0"/>
    <x v="1"/>
    <n v="48"/>
    <n v="57"/>
    <n v="95"/>
    <n v="0.65"/>
    <n v="5"/>
    <s v="Tidak Lulus"/>
    <n v="52.5"/>
    <x v="8"/>
    <x v="1"/>
  </r>
  <r>
    <s v="Peserta 10"/>
    <x v="3"/>
    <x v="1"/>
    <x v="0"/>
    <n v="51"/>
    <n v="63"/>
    <n v="115"/>
    <n v="1"/>
    <n v="2"/>
    <s v="Lulus"/>
    <n v="57"/>
    <x v="9"/>
    <x v="2"/>
  </r>
  <r>
    <s v="Peserta 11"/>
    <x v="0"/>
    <x v="2"/>
    <x v="2"/>
    <n v="85"/>
    <n v="87"/>
    <n v="118"/>
    <n v="0.9"/>
    <n v="3"/>
    <s v="Lulus"/>
    <n v="86"/>
    <x v="10"/>
    <x v="0"/>
  </r>
  <r>
    <s v="Peserta 12"/>
    <x v="1"/>
    <x v="3"/>
    <x v="0"/>
    <n v="47"/>
    <n v="50"/>
    <n v="86"/>
    <n v="0.75"/>
    <n v="2"/>
    <s v="Tidak Lulus"/>
    <n v="48.5"/>
    <x v="11"/>
    <x v="1"/>
  </r>
  <r>
    <s v="Peserta 13"/>
    <x v="1"/>
    <x v="0"/>
    <x v="0"/>
    <n v="74"/>
    <n v="81"/>
    <n v="89"/>
    <n v="0.9"/>
    <n v="2"/>
    <s v="Lulus"/>
    <n v="77.5"/>
    <x v="12"/>
    <x v="2"/>
  </r>
  <r>
    <s v="Peserta 14"/>
    <x v="2"/>
    <x v="1"/>
    <x v="0"/>
    <n v="61"/>
    <n v="86"/>
    <n v="53"/>
    <n v="1"/>
    <n v="5"/>
    <s v="Lulus"/>
    <n v="73.5"/>
    <x v="13"/>
    <x v="0"/>
  </r>
  <r>
    <s v="Peserta 15"/>
    <x v="3"/>
    <x v="2"/>
    <x v="1"/>
    <n v="77"/>
    <n v="91"/>
    <n v="39"/>
    <n v="0.85"/>
    <n v="5"/>
    <s v="Lulus"/>
    <n v="84"/>
    <x v="14"/>
    <x v="0"/>
  </r>
  <r>
    <s v="Peserta 16"/>
    <x v="0"/>
    <x v="3"/>
    <x v="0"/>
    <n v="81"/>
    <n v="97"/>
    <n v="90"/>
    <n v="0.95"/>
    <n v="5"/>
    <s v="Lulus"/>
    <n v="89"/>
    <x v="15"/>
    <x v="0"/>
  </r>
  <r>
    <s v="Peserta 17"/>
    <x v="1"/>
    <x v="0"/>
    <x v="2"/>
    <n v="56"/>
    <n v="65"/>
    <n v="64"/>
    <n v="1"/>
    <n v="5"/>
    <s v="Lulus"/>
    <n v="60.5"/>
    <x v="16"/>
    <x v="2"/>
  </r>
  <r>
    <s v="Peserta 18"/>
    <x v="4"/>
    <x v="1"/>
    <x v="0"/>
    <n v="62"/>
    <n v="64"/>
    <n v="113"/>
    <n v="0.8"/>
    <n v="3"/>
    <s v="Lulus"/>
    <n v="63"/>
    <x v="17"/>
    <x v="2"/>
  </r>
  <r>
    <s v="Peserta 19"/>
    <x v="2"/>
    <x v="2"/>
    <x v="0"/>
    <n v="62"/>
    <n v="77"/>
    <n v="97"/>
    <n v="0.7"/>
    <n v="2"/>
    <s v="Tidak Lulus"/>
    <n v="69.5"/>
    <x v="18"/>
    <x v="1"/>
  </r>
  <r>
    <s v="Peserta 20"/>
    <x v="3"/>
    <x v="3"/>
    <x v="0"/>
    <n v="84"/>
    <n v="88"/>
    <n v="98"/>
    <n v="0.85"/>
    <n v="5"/>
    <s v="Lulus"/>
    <n v="86"/>
    <x v="19"/>
    <x v="0"/>
  </r>
  <r>
    <s v="Peserta 21"/>
    <x v="0"/>
    <x v="0"/>
    <x v="1"/>
    <n v="78"/>
    <n v="81"/>
    <n v="56"/>
    <n v="0.85"/>
    <n v="3"/>
    <s v="Lulus"/>
    <n v="79.5"/>
    <x v="20"/>
    <x v="2"/>
  </r>
  <r>
    <s v="Peserta 22"/>
    <x v="1"/>
    <x v="1"/>
    <x v="0"/>
    <n v="82"/>
    <n v="100"/>
    <n v="66"/>
    <n v="0.75"/>
    <n v="2"/>
    <s v="Tidak Lulus"/>
    <n v="91"/>
    <x v="21"/>
    <x v="2"/>
  </r>
  <r>
    <s v="Peserta 23"/>
    <x v="4"/>
    <x v="2"/>
    <x v="2"/>
    <n v="74"/>
    <n v="89"/>
    <n v="121"/>
    <n v="0.75"/>
    <n v="3"/>
    <s v="Tidak Lulus"/>
    <n v="81.5"/>
    <x v="22"/>
    <x v="2"/>
  </r>
  <r>
    <s v="Peserta 24"/>
    <x v="2"/>
    <x v="3"/>
    <x v="0"/>
    <n v="69"/>
    <n v="92"/>
    <n v="50"/>
    <n v="0.8"/>
    <n v="4"/>
    <s v="Lulus"/>
    <n v="80.5"/>
    <x v="23"/>
    <x v="2"/>
  </r>
  <r>
    <s v="Peserta 25"/>
    <x v="3"/>
    <x v="0"/>
    <x v="0"/>
    <n v="59"/>
    <n v="81"/>
    <n v="94"/>
    <n v="0.85"/>
    <n v="4"/>
    <s v="Lulus"/>
    <n v="70"/>
    <x v="24"/>
    <x v="2"/>
  </r>
  <r>
    <s v="Peserta 26"/>
    <x v="0"/>
    <x v="1"/>
    <x v="0"/>
    <n v="53"/>
    <n v="73"/>
    <n v="117"/>
    <n v="0.95"/>
    <n v="5"/>
    <s v="Lulus"/>
    <n v="63"/>
    <x v="25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P001"/>
    <s v="Peserta 01"/>
    <x v="0"/>
    <n v="2023"/>
    <s v="Hadir"/>
    <n v="74"/>
    <n v="79"/>
    <n v="66"/>
    <n v="1"/>
    <n v="2"/>
    <x v="0"/>
    <n v="76.5"/>
    <n v="6.3291139240506333E-2"/>
    <s v="Bagus"/>
  </r>
  <r>
    <s v="P002"/>
    <s v="Peserta 02"/>
    <x v="1"/>
    <n v="2024"/>
    <s v="Hadir"/>
    <n v="66"/>
    <n v="66"/>
    <n v="65"/>
    <n v="0.7"/>
    <n v="2"/>
    <x v="1"/>
    <n v="66"/>
    <n v="0"/>
    <s v="Harus Ditingkatkan"/>
  </r>
  <r>
    <s v="P003"/>
    <s v="Peserta 03"/>
    <x v="0"/>
    <n v="2025"/>
    <s v="Terlambat"/>
    <n v="61"/>
    <n v="60"/>
    <n v="124"/>
    <n v="0.85"/>
    <n v="4"/>
    <x v="0"/>
    <n v="60.5"/>
    <n v="-1.6666666666666666E-2"/>
    <s v="Cukup"/>
  </r>
  <r>
    <s v="P004"/>
    <s v="Peserta 04"/>
    <x v="2"/>
    <n v="2022"/>
    <s v="Hadir"/>
    <n v="58"/>
    <n v="81"/>
    <n v="42"/>
    <n v="0.85"/>
    <n v="4"/>
    <x v="0"/>
    <n v="69.5"/>
    <n v="0.2839506172839506"/>
    <s v="Cukup"/>
  </r>
  <r>
    <s v="P005"/>
    <s v="Peserta 05"/>
    <x v="3"/>
    <n v="2023"/>
    <s v="Tidak Hadir"/>
    <n v="62"/>
    <n v="78"/>
    <n v="111"/>
    <n v="1"/>
    <n v="5"/>
    <x v="1"/>
    <n v="70"/>
    <n v="0.20512820512820512"/>
    <s v="Cukup"/>
  </r>
  <r>
    <s v="P006"/>
    <s v="Peserta 06"/>
    <x v="0"/>
    <n v="2024"/>
    <s v="Hadir"/>
    <n v="80"/>
    <n v="100"/>
    <n v="42"/>
    <n v="0.75"/>
    <n v="3"/>
    <x v="1"/>
    <n v="90"/>
    <n v="0.2"/>
    <s v="Cukup"/>
  </r>
  <r>
    <s v="P007"/>
    <s v="Peserta 07"/>
    <x v="1"/>
    <n v="2025"/>
    <s v="Hadir"/>
    <n v="70"/>
    <n v="66"/>
    <n v="101"/>
    <n v="0.85"/>
    <n v="4"/>
    <x v="0"/>
    <n v="68"/>
    <n v="-6.0606060606060608E-2"/>
    <s v="Cukup"/>
  </r>
  <r>
    <s v="P008"/>
    <s v="Peserta 08"/>
    <x v="4"/>
    <n v="2022"/>
    <s v="Hadir"/>
    <n v="51"/>
    <n v="69"/>
    <n v="44"/>
    <n v="0.8"/>
    <n v="5"/>
    <x v="0"/>
    <n v="60"/>
    <n v="0.2608695652173913"/>
    <s v="Harus Ditingkatkan"/>
  </r>
  <r>
    <s v="P009"/>
    <s v="Peserta 09"/>
    <x v="1"/>
    <n v="2023"/>
    <s v="Terlambat"/>
    <n v="48"/>
    <n v="57"/>
    <n v="95"/>
    <n v="0.65"/>
    <n v="5"/>
    <x v="1"/>
    <n v="52.5"/>
    <n v="0.15789473684210525"/>
    <s v="Harus Ditingkatkan"/>
  </r>
  <r>
    <s v="P010"/>
    <s v="Peserta 10"/>
    <x v="3"/>
    <n v="2024"/>
    <s v="Hadir"/>
    <n v="51"/>
    <n v="63"/>
    <n v="115"/>
    <n v="1"/>
    <n v="2"/>
    <x v="0"/>
    <n v="57"/>
    <n v="0.19047619047619047"/>
    <s v="Cukup"/>
  </r>
  <r>
    <s v="P011"/>
    <s v="Peserta 11"/>
    <x v="0"/>
    <n v="2025"/>
    <s v="Tidak Hadir"/>
    <n v="85"/>
    <n v="87"/>
    <n v="118"/>
    <n v="0.9"/>
    <n v="3"/>
    <x v="1"/>
    <n v="86"/>
    <n v="2.2988505747126436E-2"/>
    <s v="Bagus"/>
  </r>
  <r>
    <s v="P012"/>
    <s v="Peserta 12"/>
    <x v="1"/>
    <n v="2022"/>
    <s v="Hadir"/>
    <n v="47"/>
    <n v="50"/>
    <n v="86"/>
    <n v="0.75"/>
    <n v="2"/>
    <x v="1"/>
    <n v="48.5"/>
    <n v="0.06"/>
    <s v="Harus Ditingkatkan"/>
  </r>
  <r>
    <s v="P013"/>
    <s v="Peserta 13"/>
    <x v="1"/>
    <n v="2023"/>
    <s v="Hadir"/>
    <n v="74"/>
    <n v="81"/>
    <n v="89"/>
    <n v="0.9"/>
    <n v="2"/>
    <x v="0"/>
    <n v="77.5"/>
    <n v="8.6419753086419748E-2"/>
    <s v="Cukup"/>
  </r>
  <r>
    <s v="P014"/>
    <s v="Peserta 14"/>
    <x v="2"/>
    <n v="2024"/>
    <s v="Hadir"/>
    <n v="61"/>
    <n v="86"/>
    <n v="53"/>
    <n v="1"/>
    <n v="5"/>
    <x v="0"/>
    <n v="73.5"/>
    <n v="0.29069767441860467"/>
    <s v="Bagus"/>
  </r>
  <r>
    <s v="P015"/>
    <s v="Peserta 15"/>
    <x v="3"/>
    <n v="2025"/>
    <s v="Terlambat"/>
    <n v="77"/>
    <n v="91"/>
    <n v="39"/>
    <n v="0.85"/>
    <n v="5"/>
    <x v="0"/>
    <n v="84"/>
    <n v="0.15384615384615385"/>
    <s v="Bagus"/>
  </r>
  <r>
    <s v="P016"/>
    <s v="Peserta 16"/>
    <x v="0"/>
    <n v="2022"/>
    <s v="Hadir"/>
    <n v="81"/>
    <n v="97"/>
    <n v="90"/>
    <n v="0.95"/>
    <n v="5"/>
    <x v="0"/>
    <n v="89"/>
    <n v="0.16494845360824742"/>
    <s v="Bagus"/>
  </r>
  <r>
    <s v="P017"/>
    <s v="Peserta 17"/>
    <x v="1"/>
    <n v="2023"/>
    <s v="Tidak Hadir"/>
    <n v="56"/>
    <n v="65"/>
    <n v="64"/>
    <n v="1"/>
    <n v="5"/>
    <x v="1"/>
    <n v="60.5"/>
    <n v="0.13846153846153847"/>
    <s v="Cukup"/>
  </r>
  <r>
    <s v="P018"/>
    <s v="Peserta 18"/>
    <x v="4"/>
    <n v="2024"/>
    <s v="Hadir"/>
    <n v="62"/>
    <n v="64"/>
    <n v="113"/>
    <n v="0.8"/>
    <n v="3"/>
    <x v="0"/>
    <n v="63"/>
    <n v="3.125E-2"/>
    <s v="Cukup"/>
  </r>
  <r>
    <s v="P019"/>
    <s v="Peserta 19"/>
    <x v="2"/>
    <n v="2025"/>
    <s v="Hadir"/>
    <n v="62"/>
    <n v="77"/>
    <n v="97"/>
    <n v="0.7"/>
    <n v="2"/>
    <x v="1"/>
    <n v="69.5"/>
    <n v="0.19480519480519481"/>
    <s v="Harus Ditingkatkan"/>
  </r>
  <r>
    <s v="P020"/>
    <s v="Peserta 20"/>
    <x v="3"/>
    <n v="2022"/>
    <s v="Hadir"/>
    <n v="84"/>
    <n v="88"/>
    <n v="98"/>
    <n v="0.85"/>
    <n v="5"/>
    <x v="0"/>
    <n v="86"/>
    <n v="4.5454545454545456E-2"/>
    <s v="Bagus"/>
  </r>
  <r>
    <s v="P021"/>
    <s v="Peserta 21"/>
    <x v="0"/>
    <n v="2023"/>
    <s v="Terlambat"/>
    <n v="78"/>
    <n v="81"/>
    <n v="56"/>
    <n v="0.85"/>
    <n v="3"/>
    <x v="0"/>
    <n v="79.5"/>
    <n v="3.7037037037037035E-2"/>
    <s v="Cukup"/>
  </r>
  <r>
    <s v="P022"/>
    <s v="Peserta 22"/>
    <x v="1"/>
    <n v="2024"/>
    <s v="Hadir"/>
    <n v="82"/>
    <n v="100"/>
    <n v="66"/>
    <n v="0.75"/>
    <n v="2"/>
    <x v="1"/>
    <n v="91"/>
    <n v="0.18"/>
    <s v="Cukup"/>
  </r>
  <r>
    <s v="P023"/>
    <s v="Peserta 23"/>
    <x v="4"/>
    <n v="2025"/>
    <s v="Tidak Hadir"/>
    <n v="74"/>
    <n v="89"/>
    <n v="121"/>
    <n v="0.75"/>
    <n v="3"/>
    <x v="1"/>
    <n v="81.5"/>
    <n v="0.16853932584269662"/>
    <s v="Cukup"/>
  </r>
  <r>
    <s v="P024"/>
    <s v="Peserta 24"/>
    <x v="2"/>
    <n v="2022"/>
    <s v="Hadir"/>
    <n v="69"/>
    <n v="92"/>
    <n v="50"/>
    <n v="0.8"/>
    <n v="4"/>
    <x v="0"/>
    <n v="80.5"/>
    <n v="0.25"/>
    <s v="Cukup"/>
  </r>
  <r>
    <s v="P025"/>
    <s v="Peserta 25"/>
    <x v="3"/>
    <n v="2023"/>
    <s v="Hadir"/>
    <n v="59"/>
    <n v="81"/>
    <n v="94"/>
    <n v="0.85"/>
    <n v="4"/>
    <x v="0"/>
    <n v="70"/>
    <n v="0.27160493827160492"/>
    <s v="Cukup"/>
  </r>
  <r>
    <s v="P026"/>
    <s v="Peserta 26"/>
    <x v="0"/>
    <n v="2024"/>
    <s v="Hadir"/>
    <n v="53"/>
    <n v="73"/>
    <n v="117"/>
    <n v="0.95"/>
    <n v="5"/>
    <x v="0"/>
    <n v="63"/>
    <n v="0.27397260273972601"/>
    <s v="Cuku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BE619-02CC-4CDF-86FF-017F7992E7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1:F56" firstHeaderRow="1" firstDataRow="2" firstDataCol="1"/>
  <pivotFields count="13">
    <pivotField showAll="0"/>
    <pivotField axis="axisRow" showAll="0">
      <items count="6">
        <item x="3"/>
        <item x="4"/>
        <item x="0"/>
        <item x="2"/>
        <item x="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9" showAll="0"/>
    <pivotField showAll="0"/>
    <pivotField showAll="0"/>
    <pivotField showAll="0"/>
    <pivotField numFmtId="10" showAll="0">
      <items count="27">
        <item x="6"/>
        <item x="2"/>
        <item x="1"/>
        <item x="10"/>
        <item x="17"/>
        <item x="20"/>
        <item x="19"/>
        <item x="11"/>
        <item x="0"/>
        <item x="12"/>
        <item x="16"/>
        <item x="14"/>
        <item x="8"/>
        <item x="15"/>
        <item x="22"/>
        <item x="21"/>
        <item x="9"/>
        <item x="18"/>
        <item x="5"/>
        <item x="4"/>
        <item x="23"/>
        <item x="7"/>
        <item x="24"/>
        <item x="25"/>
        <item x="3"/>
        <item x="13"/>
        <item t="default"/>
      </items>
    </pivotField>
    <pivotField axis="axisCol" dataField="1" showAll="0">
      <items count="4">
        <item x="0"/>
        <item x="2"/>
        <item x="1"/>
        <item t="default"/>
      </items>
    </pivotField>
  </pivotFields>
  <rowFields count="2">
    <field x="1"/>
    <field x="2"/>
  </rowFields>
  <rowItems count="24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Keterangan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1A6F6-B147-43C4-B487-7F66B831F92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8:E65" firstHeaderRow="1" firstDataRow="2" firstDataCol="1"/>
  <pivotFields count="14">
    <pivotField showAll="0"/>
    <pivotField showAll="0"/>
    <pivotField axis="axisRow" showAll="0">
      <items count="6">
        <item x="3"/>
        <item x="4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numFmtId="9" showAll="0"/>
    <pivotField showAll="0"/>
    <pivotField axis="axisCol" dataField="1" showAll="0">
      <items count="3">
        <item x="0"/>
        <item x="1"/>
        <item t="default"/>
      </items>
    </pivotField>
    <pivotField showAll="0"/>
    <pivotField numFmtId="10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Status Sertifikat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A6AC-2D59-4604-AF29-887826EE5591}">
  <dimension ref="A1:K27"/>
  <sheetViews>
    <sheetView topLeftCell="B1" workbookViewId="0">
      <selection activeCell="J28" sqref="J28"/>
    </sheetView>
  </sheetViews>
  <sheetFormatPr defaultRowHeight="15" x14ac:dyDescent="0.25"/>
  <cols>
    <col min="2" max="2" width="12.28515625" customWidth="1"/>
    <col min="3" max="3" width="12.7109375" customWidth="1"/>
    <col min="5" max="5" width="11.42578125" customWidth="1"/>
    <col min="10" max="10" width="10.140625" customWidth="1"/>
  </cols>
  <sheetData>
    <row r="1" spans="1:11" ht="27" customHeight="1" x14ac:dyDescent="0.25">
      <c r="A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</row>
    <row r="2" spans="1:11" x14ac:dyDescent="0.25">
      <c r="A2" t="s">
        <v>0</v>
      </c>
      <c r="B2" t="s">
        <v>26</v>
      </c>
      <c r="C2" t="s">
        <v>52</v>
      </c>
      <c r="D2">
        <v>2023</v>
      </c>
      <c r="E2" t="s">
        <v>60</v>
      </c>
      <c r="F2">
        <v>74</v>
      </c>
      <c r="G2">
        <v>79</v>
      </c>
      <c r="H2">
        <v>66</v>
      </c>
      <c r="I2" s="2">
        <v>1</v>
      </c>
      <c r="J2">
        <v>2</v>
      </c>
    </row>
    <row r="3" spans="1:11" x14ac:dyDescent="0.25">
      <c r="A3" t="s">
        <v>1</v>
      </c>
      <c r="B3" t="s">
        <v>27</v>
      </c>
      <c r="C3" t="s">
        <v>53</v>
      </c>
      <c r="D3">
        <v>2024</v>
      </c>
      <c r="E3" t="s">
        <v>60</v>
      </c>
      <c r="F3">
        <v>66</v>
      </c>
      <c r="G3">
        <v>66</v>
      </c>
      <c r="H3">
        <v>65</v>
      </c>
      <c r="I3" s="2">
        <v>0.7</v>
      </c>
      <c r="J3">
        <v>2</v>
      </c>
    </row>
    <row r="4" spans="1:11" x14ac:dyDescent="0.25">
      <c r="A4" t="s">
        <v>2</v>
      </c>
      <c r="B4" t="s">
        <v>28</v>
      </c>
      <c r="C4" t="s">
        <v>52</v>
      </c>
      <c r="D4">
        <v>2025</v>
      </c>
      <c r="E4" t="s">
        <v>61</v>
      </c>
      <c r="F4">
        <v>61</v>
      </c>
      <c r="G4">
        <v>60</v>
      </c>
      <c r="H4">
        <v>124</v>
      </c>
      <c r="I4" s="2">
        <v>0.85</v>
      </c>
      <c r="J4">
        <v>4</v>
      </c>
    </row>
    <row r="5" spans="1:11" x14ac:dyDescent="0.25">
      <c r="A5" t="s">
        <v>3</v>
      </c>
      <c r="B5" t="s">
        <v>29</v>
      </c>
      <c r="C5" t="s">
        <v>54</v>
      </c>
      <c r="D5">
        <v>2022</v>
      </c>
      <c r="E5" t="s">
        <v>60</v>
      </c>
      <c r="F5">
        <v>58</v>
      </c>
      <c r="G5">
        <v>81</v>
      </c>
      <c r="H5">
        <v>42</v>
      </c>
      <c r="I5" s="2">
        <v>0.85</v>
      </c>
      <c r="J5">
        <v>4</v>
      </c>
    </row>
    <row r="6" spans="1:11" x14ac:dyDescent="0.25">
      <c r="A6" t="s">
        <v>4</v>
      </c>
      <c r="B6" t="s">
        <v>30</v>
      </c>
      <c r="C6" t="s">
        <v>55</v>
      </c>
      <c r="D6">
        <v>2023</v>
      </c>
      <c r="E6" t="s">
        <v>62</v>
      </c>
      <c r="F6">
        <v>62</v>
      </c>
      <c r="G6">
        <v>78</v>
      </c>
      <c r="H6">
        <v>111</v>
      </c>
      <c r="I6" s="2">
        <v>1</v>
      </c>
      <c r="J6">
        <v>5</v>
      </c>
    </row>
    <row r="7" spans="1:11" x14ac:dyDescent="0.25">
      <c r="A7" t="s">
        <v>5</v>
      </c>
      <c r="B7" t="s">
        <v>31</v>
      </c>
      <c r="C7" t="s">
        <v>56</v>
      </c>
      <c r="D7">
        <v>2024</v>
      </c>
      <c r="E7" t="s">
        <v>60</v>
      </c>
      <c r="F7">
        <v>80</v>
      </c>
      <c r="G7">
        <v>100</v>
      </c>
      <c r="H7">
        <v>42</v>
      </c>
      <c r="I7" s="2">
        <v>0.75</v>
      </c>
      <c r="J7">
        <v>3</v>
      </c>
    </row>
    <row r="8" spans="1:11" x14ac:dyDescent="0.25">
      <c r="A8" t="s">
        <v>6</v>
      </c>
      <c r="B8" t="s">
        <v>32</v>
      </c>
      <c r="C8" t="s">
        <v>53</v>
      </c>
      <c r="D8">
        <v>2025</v>
      </c>
      <c r="E8" t="s">
        <v>60</v>
      </c>
      <c r="F8">
        <v>70</v>
      </c>
      <c r="G8">
        <v>66</v>
      </c>
      <c r="H8">
        <v>101</v>
      </c>
      <c r="I8" s="2">
        <v>0.85</v>
      </c>
      <c r="J8">
        <v>4</v>
      </c>
    </row>
    <row r="9" spans="1:11" x14ac:dyDescent="0.25">
      <c r="A9" t="s">
        <v>7</v>
      </c>
      <c r="B9" t="s">
        <v>33</v>
      </c>
      <c r="C9" t="s">
        <v>57</v>
      </c>
      <c r="D9">
        <v>2022</v>
      </c>
      <c r="E9" t="s">
        <v>60</v>
      </c>
      <c r="F9">
        <v>51</v>
      </c>
      <c r="G9">
        <v>69</v>
      </c>
      <c r="H9">
        <v>44</v>
      </c>
      <c r="I9" s="2">
        <v>0.8</v>
      </c>
      <c r="J9">
        <v>5</v>
      </c>
    </row>
    <row r="10" spans="1:11" x14ac:dyDescent="0.25">
      <c r="A10" t="s">
        <v>8</v>
      </c>
      <c r="B10" t="s">
        <v>34</v>
      </c>
      <c r="C10" t="s">
        <v>58</v>
      </c>
      <c r="D10">
        <v>2023</v>
      </c>
      <c r="E10" t="s">
        <v>61</v>
      </c>
      <c r="F10">
        <v>48</v>
      </c>
      <c r="G10">
        <v>57</v>
      </c>
      <c r="H10">
        <v>95</v>
      </c>
      <c r="I10" s="2">
        <v>0.65</v>
      </c>
      <c r="J10">
        <v>5</v>
      </c>
    </row>
    <row r="11" spans="1:11" x14ac:dyDescent="0.25">
      <c r="A11" t="s">
        <v>9</v>
      </c>
      <c r="B11" t="s">
        <v>35</v>
      </c>
      <c r="C11" t="s">
        <v>55</v>
      </c>
      <c r="D11">
        <v>2024</v>
      </c>
      <c r="E11" t="s">
        <v>60</v>
      </c>
      <c r="F11">
        <v>51</v>
      </c>
      <c r="G11">
        <v>63</v>
      </c>
      <c r="H11">
        <v>115</v>
      </c>
      <c r="I11" s="2">
        <v>1</v>
      </c>
      <c r="J11">
        <v>2</v>
      </c>
    </row>
    <row r="12" spans="1:11" x14ac:dyDescent="0.25">
      <c r="A12" t="s">
        <v>10</v>
      </c>
      <c r="B12" t="s">
        <v>36</v>
      </c>
      <c r="C12" t="s">
        <v>52</v>
      </c>
      <c r="D12">
        <v>2025</v>
      </c>
      <c r="E12" t="s">
        <v>62</v>
      </c>
      <c r="F12">
        <v>85</v>
      </c>
      <c r="H12">
        <v>118</v>
      </c>
      <c r="I12" s="2">
        <v>0.9</v>
      </c>
      <c r="J12">
        <v>3</v>
      </c>
    </row>
    <row r="13" spans="1:11" x14ac:dyDescent="0.25">
      <c r="A13" t="s">
        <v>11</v>
      </c>
      <c r="B13" t="s">
        <v>37</v>
      </c>
      <c r="C13" t="s">
        <v>53</v>
      </c>
      <c r="D13">
        <v>2022</v>
      </c>
      <c r="E13" t="s">
        <v>60</v>
      </c>
      <c r="F13">
        <v>47</v>
      </c>
      <c r="G13">
        <v>50</v>
      </c>
      <c r="H13">
        <v>86</v>
      </c>
      <c r="I13" s="2">
        <v>0.75</v>
      </c>
      <c r="J13">
        <v>2</v>
      </c>
    </row>
    <row r="14" spans="1:11" x14ac:dyDescent="0.25">
      <c r="A14" t="s">
        <v>12</v>
      </c>
      <c r="B14" t="s">
        <v>38</v>
      </c>
      <c r="C14" t="s">
        <v>59</v>
      </c>
      <c r="D14">
        <v>2023</v>
      </c>
      <c r="E14" t="s">
        <v>60</v>
      </c>
      <c r="F14">
        <v>74</v>
      </c>
      <c r="G14">
        <v>81</v>
      </c>
      <c r="H14">
        <v>89</v>
      </c>
      <c r="I14" s="2">
        <v>0.9</v>
      </c>
      <c r="J14">
        <v>2</v>
      </c>
    </row>
    <row r="15" spans="1:11" x14ac:dyDescent="0.25">
      <c r="A15" t="s">
        <v>13</v>
      </c>
      <c r="B15" t="s">
        <v>39</v>
      </c>
      <c r="C15" t="s">
        <v>54</v>
      </c>
      <c r="D15">
        <v>2024</v>
      </c>
      <c r="E15" t="s">
        <v>60</v>
      </c>
      <c r="F15">
        <v>61</v>
      </c>
      <c r="G15">
        <v>86</v>
      </c>
      <c r="H15">
        <v>53</v>
      </c>
      <c r="I15" s="2">
        <v>1</v>
      </c>
      <c r="J15">
        <v>5</v>
      </c>
    </row>
    <row r="16" spans="1:11" x14ac:dyDescent="0.25">
      <c r="A16" t="s">
        <v>14</v>
      </c>
      <c r="B16" t="s">
        <v>40</v>
      </c>
      <c r="C16" t="s">
        <v>55</v>
      </c>
      <c r="D16">
        <v>2025</v>
      </c>
      <c r="E16" t="s">
        <v>61</v>
      </c>
      <c r="F16">
        <v>77</v>
      </c>
      <c r="G16">
        <v>91</v>
      </c>
      <c r="H16">
        <v>39</v>
      </c>
      <c r="I16" s="2">
        <v>0.85</v>
      </c>
      <c r="J16">
        <v>5</v>
      </c>
    </row>
    <row r="17" spans="1:10" x14ac:dyDescent="0.25">
      <c r="A17" t="s">
        <v>15</v>
      </c>
      <c r="B17" t="s">
        <v>41</v>
      </c>
      <c r="C17" t="s">
        <v>52</v>
      </c>
      <c r="D17">
        <v>2022</v>
      </c>
      <c r="E17" t="s">
        <v>60</v>
      </c>
      <c r="F17">
        <v>81</v>
      </c>
      <c r="G17">
        <v>97</v>
      </c>
      <c r="H17" t="s">
        <v>74</v>
      </c>
      <c r="I17" s="2">
        <v>0.95</v>
      </c>
      <c r="J17">
        <v>5</v>
      </c>
    </row>
    <row r="18" spans="1:10" x14ac:dyDescent="0.25">
      <c r="A18" t="s">
        <v>16</v>
      </c>
      <c r="B18" t="s">
        <v>42</v>
      </c>
      <c r="C18" t="s">
        <v>53</v>
      </c>
      <c r="D18">
        <v>2023</v>
      </c>
      <c r="E18" t="s">
        <v>62</v>
      </c>
      <c r="F18">
        <v>56</v>
      </c>
      <c r="G18">
        <v>65</v>
      </c>
      <c r="H18">
        <v>64</v>
      </c>
      <c r="I18" s="2">
        <v>1</v>
      </c>
      <c r="J18">
        <v>5</v>
      </c>
    </row>
    <row r="19" spans="1:10" x14ac:dyDescent="0.25">
      <c r="A19" t="s">
        <v>17</v>
      </c>
      <c r="B19" t="s">
        <v>43</v>
      </c>
      <c r="C19" t="s">
        <v>57</v>
      </c>
      <c r="D19">
        <v>2024</v>
      </c>
      <c r="E19" t="s">
        <v>60</v>
      </c>
      <c r="F19">
        <v>62</v>
      </c>
      <c r="G19">
        <v>64</v>
      </c>
      <c r="H19">
        <v>113</v>
      </c>
      <c r="I19">
        <v>0.8</v>
      </c>
      <c r="J19">
        <v>3</v>
      </c>
    </row>
    <row r="20" spans="1:10" x14ac:dyDescent="0.25">
      <c r="A20" t="s">
        <v>18</v>
      </c>
      <c r="B20" t="s">
        <v>44</v>
      </c>
      <c r="C20" t="s">
        <v>54</v>
      </c>
      <c r="D20">
        <v>2025</v>
      </c>
      <c r="E20" t="s">
        <v>60</v>
      </c>
      <c r="F20">
        <v>62</v>
      </c>
      <c r="G20">
        <v>77</v>
      </c>
      <c r="H20">
        <v>97</v>
      </c>
      <c r="I20" s="2">
        <v>0.7</v>
      </c>
      <c r="J20">
        <v>2</v>
      </c>
    </row>
    <row r="21" spans="1:10" x14ac:dyDescent="0.25">
      <c r="A21" t="s">
        <v>19</v>
      </c>
      <c r="B21" t="s">
        <v>45</v>
      </c>
      <c r="C21" t="s">
        <v>55</v>
      </c>
      <c r="D21">
        <v>2022</v>
      </c>
      <c r="E21" t="s">
        <v>60</v>
      </c>
      <c r="F21">
        <v>84</v>
      </c>
      <c r="G21">
        <v>88</v>
      </c>
      <c r="H21">
        <v>98</v>
      </c>
      <c r="I21">
        <v>85</v>
      </c>
      <c r="J21">
        <v>5</v>
      </c>
    </row>
    <row r="22" spans="1:10" x14ac:dyDescent="0.25">
      <c r="A22" t="s">
        <v>20</v>
      </c>
      <c r="B22" t="s">
        <v>46</v>
      </c>
      <c r="C22" t="s">
        <v>52</v>
      </c>
      <c r="D22">
        <v>2023</v>
      </c>
      <c r="E22" t="s">
        <v>61</v>
      </c>
      <c r="F22">
        <v>78</v>
      </c>
      <c r="G22">
        <v>81</v>
      </c>
      <c r="H22">
        <v>56</v>
      </c>
      <c r="I22" s="2">
        <v>0.85</v>
      </c>
      <c r="J22">
        <v>3</v>
      </c>
    </row>
    <row r="23" spans="1:10" x14ac:dyDescent="0.25">
      <c r="A23" t="s">
        <v>21</v>
      </c>
      <c r="B23" t="s">
        <v>47</v>
      </c>
      <c r="C23" t="s">
        <v>53</v>
      </c>
      <c r="D23">
        <v>2024</v>
      </c>
      <c r="E23" t="s">
        <v>60</v>
      </c>
      <c r="F23">
        <v>82</v>
      </c>
      <c r="G23">
        <v>100</v>
      </c>
      <c r="H23">
        <v>66</v>
      </c>
      <c r="I23" s="2">
        <v>0.75</v>
      </c>
      <c r="J23">
        <v>2</v>
      </c>
    </row>
    <row r="24" spans="1:10" x14ac:dyDescent="0.25">
      <c r="A24" t="s">
        <v>22</v>
      </c>
      <c r="B24" t="s">
        <v>48</v>
      </c>
      <c r="C24" t="s">
        <v>57</v>
      </c>
      <c r="D24">
        <v>2025</v>
      </c>
      <c r="E24" t="s">
        <v>62</v>
      </c>
      <c r="F24">
        <v>74</v>
      </c>
      <c r="G24">
        <v>89</v>
      </c>
      <c r="H24">
        <v>121</v>
      </c>
      <c r="I24" s="2">
        <v>0.75</v>
      </c>
      <c r="J24">
        <v>3</v>
      </c>
    </row>
    <row r="25" spans="1:10" x14ac:dyDescent="0.25">
      <c r="A25" t="s">
        <v>23</v>
      </c>
      <c r="B25" t="s">
        <v>49</v>
      </c>
      <c r="C25" t="s">
        <v>54</v>
      </c>
      <c r="D25">
        <v>2022</v>
      </c>
      <c r="E25" t="s">
        <v>60</v>
      </c>
      <c r="F25">
        <v>69</v>
      </c>
      <c r="G25">
        <v>92</v>
      </c>
      <c r="H25">
        <v>50</v>
      </c>
      <c r="I25" s="2">
        <v>0.8</v>
      </c>
      <c r="J25" t="s">
        <v>75</v>
      </c>
    </row>
    <row r="26" spans="1:10" x14ac:dyDescent="0.25">
      <c r="A26" t="s">
        <v>24</v>
      </c>
      <c r="B26" t="s">
        <v>50</v>
      </c>
      <c r="C26" t="s">
        <v>55</v>
      </c>
      <c r="D26">
        <v>2023</v>
      </c>
      <c r="E26" t="s">
        <v>60</v>
      </c>
      <c r="F26">
        <v>59</v>
      </c>
      <c r="G26">
        <v>81</v>
      </c>
      <c r="H26">
        <v>94</v>
      </c>
      <c r="I26" s="2">
        <v>0.85</v>
      </c>
      <c r="J26">
        <v>4</v>
      </c>
    </row>
    <row r="27" spans="1:10" x14ac:dyDescent="0.25">
      <c r="A27" t="s">
        <v>25</v>
      </c>
      <c r="B27" t="s">
        <v>51</v>
      </c>
      <c r="C27" t="s">
        <v>52</v>
      </c>
      <c r="D27">
        <v>2024</v>
      </c>
      <c r="E27" t="s">
        <v>60</v>
      </c>
      <c r="F27">
        <v>53</v>
      </c>
      <c r="G27">
        <v>73</v>
      </c>
      <c r="H27">
        <v>117</v>
      </c>
      <c r="I27" s="2">
        <v>0.95</v>
      </c>
      <c r="J27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0835-CEB0-4A1B-B649-C58E9CF61E7F}">
  <dimension ref="A1:O65"/>
  <sheetViews>
    <sheetView tabSelected="1" topLeftCell="F48" zoomScaleNormal="100" workbookViewId="0">
      <selection activeCell="N1" sqref="N1"/>
    </sheetView>
  </sheetViews>
  <sheetFormatPr defaultRowHeight="15" x14ac:dyDescent="0.25"/>
  <cols>
    <col min="2" max="2" width="24.140625" bestFit="1" customWidth="1"/>
    <col min="3" max="3" width="16.85546875" bestFit="1" customWidth="1"/>
    <col min="4" max="4" width="11" bestFit="1" customWidth="1"/>
    <col min="5" max="5" width="11.28515625" bestFit="1" customWidth="1"/>
    <col min="6" max="6" width="11.42578125" bestFit="1" customWidth="1"/>
    <col min="7" max="7" width="16.42578125" bestFit="1" customWidth="1"/>
    <col min="8" max="9" width="11.28515625" bestFit="1" customWidth="1"/>
    <col min="10" max="10" width="11.42578125" bestFit="1" customWidth="1"/>
    <col min="11" max="11" width="16.42578125" bestFit="1" customWidth="1"/>
    <col min="12" max="12" width="11.7109375" bestFit="1" customWidth="1"/>
    <col min="13" max="13" width="18" bestFit="1" customWidth="1"/>
    <col min="14" max="14" width="42" customWidth="1"/>
    <col min="15" max="15" width="16.42578125" bestFit="1" customWidth="1"/>
    <col min="16" max="16" width="21.140625" bestFit="1" customWidth="1"/>
    <col min="17" max="17" width="11.28515625" bestFit="1" customWidth="1"/>
    <col min="18" max="24" width="7.140625" bestFit="1" customWidth="1"/>
    <col min="25" max="25" width="11.7109375" bestFit="1" customWidth="1"/>
    <col min="26" max="26" width="18" bestFit="1" customWidth="1"/>
    <col min="27" max="27" width="6.140625" bestFit="1" customWidth="1"/>
    <col min="28" max="30" width="7.140625" bestFit="1" customWidth="1"/>
    <col min="31" max="31" width="21.140625" bestFit="1" customWidth="1"/>
    <col min="32" max="32" width="11.28515625" bestFit="1" customWidth="1"/>
  </cols>
  <sheetData>
    <row r="1" spans="1:15" ht="27" customHeight="1" x14ac:dyDescent="0.25">
      <c r="A1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72</v>
      </c>
      <c r="K1" s="7" t="s">
        <v>73</v>
      </c>
      <c r="L1" s="7" t="s">
        <v>79</v>
      </c>
      <c r="M1" s="7" t="s">
        <v>76</v>
      </c>
      <c r="N1" s="7" t="s">
        <v>87</v>
      </c>
      <c r="O1" s="14"/>
    </row>
    <row r="2" spans="1:15" x14ac:dyDescent="0.25">
      <c r="A2" t="s">
        <v>0</v>
      </c>
      <c r="B2" s="8" t="s">
        <v>26</v>
      </c>
      <c r="C2" s="8" t="s">
        <v>52</v>
      </c>
      <c r="D2" s="8">
        <v>2023</v>
      </c>
      <c r="E2" s="8" t="s">
        <v>60</v>
      </c>
      <c r="F2" s="8">
        <v>74</v>
      </c>
      <c r="G2" s="8">
        <v>79</v>
      </c>
      <c r="H2" s="8">
        <v>66</v>
      </c>
      <c r="I2" s="9">
        <v>1</v>
      </c>
      <c r="J2" s="8">
        <v>2</v>
      </c>
      <c r="K2" s="8" t="str">
        <f t="shared" ref="K2:K6" si="0">IF(AND(I2&gt;=80%,OR(E2="Hadir",E2="Terlambat")),"Lulus","Tidak Lulus")</f>
        <v>Lulus</v>
      </c>
      <c r="L2" s="10">
        <f>(F2+G2)/2</f>
        <v>76.5</v>
      </c>
      <c r="M2" s="11">
        <f>((G2-F2)/G2)</f>
        <v>6.3291139240506333E-2</v>
      </c>
      <c r="N2" s="8" t="str">
        <f>IF(I2*AVERAGE(F2:G2)&lt;=50,"Harus Ditingkatkan",IF(I2*AVERAGE(F2:G2)&lt;=70,"Cukup","Bagus"))</f>
        <v>Bagus</v>
      </c>
    </row>
    <row r="3" spans="1:15" x14ac:dyDescent="0.25">
      <c r="A3" t="s">
        <v>1</v>
      </c>
      <c r="B3" s="8" t="s">
        <v>27</v>
      </c>
      <c r="C3" s="8" t="s">
        <v>53</v>
      </c>
      <c r="D3" s="8">
        <v>2024</v>
      </c>
      <c r="E3" s="8" t="s">
        <v>60</v>
      </c>
      <c r="F3" s="8">
        <v>66</v>
      </c>
      <c r="G3" s="8">
        <v>66</v>
      </c>
      <c r="H3" s="8">
        <v>65</v>
      </c>
      <c r="I3" s="9">
        <v>0.7</v>
      </c>
      <c r="J3" s="8">
        <v>2</v>
      </c>
      <c r="K3" s="8" t="str">
        <f t="shared" si="0"/>
        <v>Tidak Lulus</v>
      </c>
      <c r="L3" s="10">
        <f t="shared" ref="L3:L27" si="1">(F3+G3)/2</f>
        <v>66</v>
      </c>
      <c r="M3" s="11">
        <f t="shared" ref="M3:M27" si="2">((G3-F3)/G3)</f>
        <v>0</v>
      </c>
      <c r="N3" s="8" t="str">
        <f>IF(I3*AVERAGE(F3:G3)&lt;=50,"Harus Ditingkatkan",IF(I3*AVERAGE(F3:G3)&lt;=70,"Cukup","Bagus"))</f>
        <v>Harus Ditingkatkan</v>
      </c>
    </row>
    <row r="4" spans="1:15" x14ac:dyDescent="0.25">
      <c r="A4" t="s">
        <v>2</v>
      </c>
      <c r="B4" s="8" t="s">
        <v>28</v>
      </c>
      <c r="C4" s="8" t="s">
        <v>52</v>
      </c>
      <c r="D4" s="8">
        <v>2025</v>
      </c>
      <c r="E4" s="8" t="s">
        <v>61</v>
      </c>
      <c r="F4" s="8">
        <v>61</v>
      </c>
      <c r="G4" s="8">
        <v>60</v>
      </c>
      <c r="H4" s="8">
        <v>124</v>
      </c>
      <c r="I4" s="9">
        <v>0.85</v>
      </c>
      <c r="J4" s="8">
        <v>4</v>
      </c>
      <c r="K4" s="8" t="str">
        <f t="shared" si="0"/>
        <v>Lulus</v>
      </c>
      <c r="L4" s="10">
        <f t="shared" si="1"/>
        <v>60.5</v>
      </c>
      <c r="M4" s="11">
        <f t="shared" si="2"/>
        <v>-1.6666666666666666E-2</v>
      </c>
      <c r="N4" s="8" t="str">
        <f t="shared" ref="N4:N27" si="3">IF(I4*AVERAGE(F4:G4)&lt;=50,"Harus Ditingkatkan",IF(I4*AVERAGE(F4:G4)&lt;=70,"Cukup","Bagus"))</f>
        <v>Cukup</v>
      </c>
    </row>
    <row r="5" spans="1:15" x14ac:dyDescent="0.25">
      <c r="A5" t="s">
        <v>3</v>
      </c>
      <c r="B5" s="8" t="s">
        <v>29</v>
      </c>
      <c r="C5" s="8" t="s">
        <v>54</v>
      </c>
      <c r="D5" s="8">
        <v>2022</v>
      </c>
      <c r="E5" s="8" t="s">
        <v>60</v>
      </c>
      <c r="F5" s="8">
        <v>58</v>
      </c>
      <c r="G5" s="8">
        <v>81</v>
      </c>
      <c r="H5" s="8">
        <v>42</v>
      </c>
      <c r="I5" s="9">
        <v>0.85</v>
      </c>
      <c r="J5" s="8">
        <v>4</v>
      </c>
      <c r="K5" s="8" t="str">
        <f t="shared" si="0"/>
        <v>Lulus</v>
      </c>
      <c r="L5" s="10">
        <f t="shared" si="1"/>
        <v>69.5</v>
      </c>
      <c r="M5" s="11">
        <f t="shared" si="2"/>
        <v>0.2839506172839506</v>
      </c>
      <c r="N5" s="8" t="str">
        <f t="shared" si="3"/>
        <v>Cukup</v>
      </c>
    </row>
    <row r="6" spans="1:15" x14ac:dyDescent="0.25">
      <c r="A6" t="s">
        <v>4</v>
      </c>
      <c r="B6" s="8" t="s">
        <v>30</v>
      </c>
      <c r="C6" s="8" t="s">
        <v>55</v>
      </c>
      <c r="D6" s="8">
        <v>2023</v>
      </c>
      <c r="E6" s="8" t="s">
        <v>62</v>
      </c>
      <c r="F6" s="8">
        <v>62</v>
      </c>
      <c r="G6" s="8">
        <v>78</v>
      </c>
      <c r="H6" s="8">
        <v>111</v>
      </c>
      <c r="I6" s="9">
        <v>1</v>
      </c>
      <c r="J6" s="8">
        <v>5</v>
      </c>
      <c r="K6" s="8" t="str">
        <f t="shared" si="0"/>
        <v>Tidak Lulus</v>
      </c>
      <c r="L6" s="10">
        <f t="shared" si="1"/>
        <v>70</v>
      </c>
      <c r="M6" s="11">
        <f t="shared" si="2"/>
        <v>0.20512820512820512</v>
      </c>
      <c r="N6" s="8" t="str">
        <f t="shared" si="3"/>
        <v>Cukup</v>
      </c>
    </row>
    <row r="7" spans="1:15" x14ac:dyDescent="0.25">
      <c r="A7" t="s">
        <v>5</v>
      </c>
      <c r="B7" s="8" t="s">
        <v>31</v>
      </c>
      <c r="C7" s="8" t="s">
        <v>52</v>
      </c>
      <c r="D7" s="8">
        <v>2024</v>
      </c>
      <c r="E7" s="8" t="s">
        <v>60</v>
      </c>
      <c r="F7" s="8">
        <v>80</v>
      </c>
      <c r="G7" s="8">
        <v>100</v>
      </c>
      <c r="H7" s="8">
        <v>42</v>
      </c>
      <c r="I7" s="9">
        <v>0.75</v>
      </c>
      <c r="J7" s="8">
        <v>3</v>
      </c>
      <c r="K7" s="8" t="str">
        <f>IF(AND(I7&gt;=80%,OR(E7="Hadir",E7="Terlambat")),"Lulus","Tidak Lulus")</f>
        <v>Tidak Lulus</v>
      </c>
      <c r="L7" s="10">
        <f t="shared" si="1"/>
        <v>90</v>
      </c>
      <c r="M7" s="11">
        <f t="shared" si="2"/>
        <v>0.2</v>
      </c>
      <c r="N7" s="8" t="str">
        <f t="shared" si="3"/>
        <v>Cukup</v>
      </c>
    </row>
    <row r="8" spans="1:15" x14ac:dyDescent="0.25">
      <c r="A8" t="s">
        <v>6</v>
      </c>
      <c r="B8" s="8" t="s">
        <v>32</v>
      </c>
      <c r="C8" s="8" t="s">
        <v>53</v>
      </c>
      <c r="D8" s="8">
        <v>2025</v>
      </c>
      <c r="E8" s="8" t="s">
        <v>60</v>
      </c>
      <c r="F8" s="8">
        <v>70</v>
      </c>
      <c r="G8" s="8">
        <v>66</v>
      </c>
      <c r="H8" s="8">
        <v>101</v>
      </c>
      <c r="I8" s="9">
        <v>0.85</v>
      </c>
      <c r="J8" s="8">
        <v>4</v>
      </c>
      <c r="K8" s="8" t="str">
        <f t="shared" ref="K8:K27" si="4">IF(AND(I8&gt;=80%,OR(E8="Hadir",E8="Terlambat")),"Lulus","Tidak Lulus")</f>
        <v>Lulus</v>
      </c>
      <c r="L8" s="10">
        <f t="shared" si="1"/>
        <v>68</v>
      </c>
      <c r="M8" s="11">
        <f t="shared" si="2"/>
        <v>-6.0606060606060608E-2</v>
      </c>
      <c r="N8" s="8" t="str">
        <f t="shared" si="3"/>
        <v>Cukup</v>
      </c>
    </row>
    <row r="9" spans="1:15" x14ac:dyDescent="0.25">
      <c r="A9" t="s">
        <v>7</v>
      </c>
      <c r="B9" s="8" t="s">
        <v>33</v>
      </c>
      <c r="C9" s="8" t="s">
        <v>57</v>
      </c>
      <c r="D9" s="8">
        <v>2022</v>
      </c>
      <c r="E9" s="8" t="s">
        <v>60</v>
      </c>
      <c r="F9" s="8">
        <v>51</v>
      </c>
      <c r="G9" s="8">
        <v>69</v>
      </c>
      <c r="H9" s="8">
        <v>44</v>
      </c>
      <c r="I9" s="9">
        <v>0.8</v>
      </c>
      <c r="J9" s="8">
        <v>5</v>
      </c>
      <c r="K9" s="8" t="str">
        <f t="shared" si="4"/>
        <v>Lulus</v>
      </c>
      <c r="L9" s="10">
        <f t="shared" si="1"/>
        <v>60</v>
      </c>
      <c r="M9" s="11">
        <f t="shared" si="2"/>
        <v>0.2608695652173913</v>
      </c>
      <c r="N9" s="8" t="str">
        <f t="shared" si="3"/>
        <v>Harus Ditingkatkan</v>
      </c>
    </row>
    <row r="10" spans="1:15" x14ac:dyDescent="0.25">
      <c r="A10" t="s">
        <v>8</v>
      </c>
      <c r="B10" s="8" t="s">
        <v>34</v>
      </c>
      <c r="C10" s="8" t="s">
        <v>53</v>
      </c>
      <c r="D10" s="8">
        <v>2023</v>
      </c>
      <c r="E10" s="8" t="s">
        <v>61</v>
      </c>
      <c r="F10" s="8">
        <v>48</v>
      </c>
      <c r="G10" s="8">
        <v>57</v>
      </c>
      <c r="H10" s="8">
        <v>95</v>
      </c>
      <c r="I10" s="9">
        <v>0.65</v>
      </c>
      <c r="J10" s="8">
        <v>5</v>
      </c>
      <c r="K10" s="8" t="str">
        <f t="shared" si="4"/>
        <v>Tidak Lulus</v>
      </c>
      <c r="L10" s="10">
        <f t="shared" si="1"/>
        <v>52.5</v>
      </c>
      <c r="M10" s="11">
        <f t="shared" si="2"/>
        <v>0.15789473684210525</v>
      </c>
      <c r="N10" s="8" t="str">
        <f t="shared" si="3"/>
        <v>Harus Ditingkatkan</v>
      </c>
    </row>
    <row r="11" spans="1:15" x14ac:dyDescent="0.25">
      <c r="A11" t="s">
        <v>9</v>
      </c>
      <c r="B11" s="8" t="s">
        <v>35</v>
      </c>
      <c r="C11" s="8" t="s">
        <v>55</v>
      </c>
      <c r="D11" s="8">
        <v>2024</v>
      </c>
      <c r="E11" s="8" t="s">
        <v>60</v>
      </c>
      <c r="F11" s="8">
        <v>51</v>
      </c>
      <c r="G11" s="8">
        <v>63</v>
      </c>
      <c r="H11" s="8">
        <v>115</v>
      </c>
      <c r="I11" s="9">
        <v>1</v>
      </c>
      <c r="J11" s="8">
        <v>2</v>
      </c>
      <c r="K11" s="8" t="str">
        <f t="shared" si="4"/>
        <v>Lulus</v>
      </c>
      <c r="L11" s="10">
        <f t="shared" si="1"/>
        <v>57</v>
      </c>
      <c r="M11" s="11">
        <f t="shared" si="2"/>
        <v>0.19047619047619047</v>
      </c>
      <c r="N11" s="8" t="str">
        <f t="shared" si="3"/>
        <v>Cukup</v>
      </c>
    </row>
    <row r="12" spans="1:15" x14ac:dyDescent="0.25">
      <c r="A12" t="s">
        <v>10</v>
      </c>
      <c r="B12" s="8" t="s">
        <v>36</v>
      </c>
      <c r="C12" s="8" t="s">
        <v>52</v>
      </c>
      <c r="D12" s="8">
        <v>2025</v>
      </c>
      <c r="E12" s="8" t="s">
        <v>62</v>
      </c>
      <c r="F12" s="8">
        <v>85</v>
      </c>
      <c r="G12" s="8">
        <v>87</v>
      </c>
      <c r="H12" s="8">
        <v>118</v>
      </c>
      <c r="I12" s="9">
        <v>0.9</v>
      </c>
      <c r="J12" s="8">
        <v>3</v>
      </c>
      <c r="K12" s="8" t="str">
        <f t="shared" si="4"/>
        <v>Tidak Lulus</v>
      </c>
      <c r="L12" s="10">
        <f t="shared" si="1"/>
        <v>86</v>
      </c>
      <c r="M12" s="11">
        <f t="shared" si="2"/>
        <v>2.2988505747126436E-2</v>
      </c>
      <c r="N12" s="8" t="str">
        <f t="shared" si="3"/>
        <v>Bagus</v>
      </c>
    </row>
    <row r="13" spans="1:15" x14ac:dyDescent="0.25">
      <c r="A13" t="s">
        <v>11</v>
      </c>
      <c r="B13" s="8" t="s">
        <v>37</v>
      </c>
      <c r="C13" s="8" t="s">
        <v>53</v>
      </c>
      <c r="D13" s="8">
        <v>2022</v>
      </c>
      <c r="E13" s="8" t="s">
        <v>60</v>
      </c>
      <c r="F13" s="8">
        <v>47</v>
      </c>
      <c r="G13" s="8">
        <v>50</v>
      </c>
      <c r="H13" s="8">
        <v>86</v>
      </c>
      <c r="I13" s="9">
        <v>0.75</v>
      </c>
      <c r="J13" s="8">
        <v>2</v>
      </c>
      <c r="K13" s="8" t="str">
        <f t="shared" si="4"/>
        <v>Tidak Lulus</v>
      </c>
      <c r="L13" s="10">
        <f t="shared" si="1"/>
        <v>48.5</v>
      </c>
      <c r="M13" s="11">
        <f t="shared" si="2"/>
        <v>0.06</v>
      </c>
      <c r="N13" s="8" t="str">
        <f t="shared" si="3"/>
        <v>Harus Ditingkatkan</v>
      </c>
    </row>
    <row r="14" spans="1:15" x14ac:dyDescent="0.25">
      <c r="A14" t="s">
        <v>12</v>
      </c>
      <c r="B14" s="8" t="s">
        <v>38</v>
      </c>
      <c r="C14" s="8" t="s">
        <v>53</v>
      </c>
      <c r="D14" s="8">
        <v>2023</v>
      </c>
      <c r="E14" s="8" t="s">
        <v>60</v>
      </c>
      <c r="F14" s="8">
        <v>74</v>
      </c>
      <c r="G14" s="8">
        <v>81</v>
      </c>
      <c r="H14" s="8">
        <v>89</v>
      </c>
      <c r="I14" s="9">
        <v>0.9</v>
      </c>
      <c r="J14" s="8">
        <v>2</v>
      </c>
      <c r="K14" s="8" t="str">
        <f t="shared" si="4"/>
        <v>Lulus</v>
      </c>
      <c r="L14" s="10">
        <f t="shared" si="1"/>
        <v>77.5</v>
      </c>
      <c r="M14" s="11">
        <f t="shared" si="2"/>
        <v>8.6419753086419748E-2</v>
      </c>
      <c r="N14" s="8" t="str">
        <f t="shared" si="3"/>
        <v>Cukup</v>
      </c>
    </row>
    <row r="15" spans="1:15" x14ac:dyDescent="0.25">
      <c r="A15" t="s">
        <v>13</v>
      </c>
      <c r="B15" s="8" t="s">
        <v>39</v>
      </c>
      <c r="C15" s="8" t="s">
        <v>54</v>
      </c>
      <c r="D15" s="8">
        <v>2024</v>
      </c>
      <c r="E15" s="8" t="s">
        <v>60</v>
      </c>
      <c r="F15" s="8">
        <v>61</v>
      </c>
      <c r="G15" s="8">
        <v>86</v>
      </c>
      <c r="H15" s="8">
        <v>53</v>
      </c>
      <c r="I15" s="9">
        <v>1</v>
      </c>
      <c r="J15" s="8">
        <v>5</v>
      </c>
      <c r="K15" s="8" t="str">
        <f t="shared" si="4"/>
        <v>Lulus</v>
      </c>
      <c r="L15" s="10">
        <f t="shared" si="1"/>
        <v>73.5</v>
      </c>
      <c r="M15" s="11">
        <f t="shared" si="2"/>
        <v>0.29069767441860467</v>
      </c>
      <c r="N15" s="8" t="str">
        <f t="shared" si="3"/>
        <v>Bagus</v>
      </c>
    </row>
    <row r="16" spans="1:15" x14ac:dyDescent="0.25">
      <c r="A16" t="s">
        <v>14</v>
      </c>
      <c r="B16" s="8" t="s">
        <v>40</v>
      </c>
      <c r="C16" s="8" t="s">
        <v>55</v>
      </c>
      <c r="D16" s="8">
        <v>2025</v>
      </c>
      <c r="E16" s="8" t="s">
        <v>61</v>
      </c>
      <c r="F16" s="8">
        <v>77</v>
      </c>
      <c r="G16" s="8">
        <v>91</v>
      </c>
      <c r="H16" s="8">
        <v>39</v>
      </c>
      <c r="I16" s="9">
        <v>0.85</v>
      </c>
      <c r="J16" s="8">
        <v>5</v>
      </c>
      <c r="K16" s="8" t="str">
        <f t="shared" si="4"/>
        <v>Lulus</v>
      </c>
      <c r="L16" s="10">
        <f t="shared" si="1"/>
        <v>84</v>
      </c>
      <c r="M16" s="11">
        <f t="shared" si="2"/>
        <v>0.15384615384615385</v>
      </c>
      <c r="N16" s="8" t="str">
        <f t="shared" si="3"/>
        <v>Bagus</v>
      </c>
    </row>
    <row r="17" spans="1:14" x14ac:dyDescent="0.25">
      <c r="A17" t="s">
        <v>15</v>
      </c>
      <c r="B17" s="8" t="s">
        <v>41</v>
      </c>
      <c r="C17" s="8" t="s">
        <v>52</v>
      </c>
      <c r="D17" s="8">
        <v>2022</v>
      </c>
      <c r="E17" s="8" t="s">
        <v>60</v>
      </c>
      <c r="F17" s="8">
        <v>81</v>
      </c>
      <c r="G17" s="8">
        <v>97</v>
      </c>
      <c r="H17" s="8">
        <v>90</v>
      </c>
      <c r="I17" s="9">
        <v>0.95</v>
      </c>
      <c r="J17" s="8">
        <v>5</v>
      </c>
      <c r="K17" s="8" t="str">
        <f t="shared" si="4"/>
        <v>Lulus</v>
      </c>
      <c r="L17" s="10">
        <f t="shared" si="1"/>
        <v>89</v>
      </c>
      <c r="M17" s="11">
        <f t="shared" si="2"/>
        <v>0.16494845360824742</v>
      </c>
      <c r="N17" s="8" t="str">
        <f t="shared" si="3"/>
        <v>Bagus</v>
      </c>
    </row>
    <row r="18" spans="1:14" x14ac:dyDescent="0.25">
      <c r="A18" t="s">
        <v>16</v>
      </c>
      <c r="B18" s="8" t="s">
        <v>42</v>
      </c>
      <c r="C18" s="8" t="s">
        <v>53</v>
      </c>
      <c r="D18" s="8">
        <v>2023</v>
      </c>
      <c r="E18" s="8" t="s">
        <v>62</v>
      </c>
      <c r="F18" s="8">
        <v>56</v>
      </c>
      <c r="G18" s="8">
        <v>65</v>
      </c>
      <c r="H18" s="8">
        <v>64</v>
      </c>
      <c r="I18" s="9">
        <v>1</v>
      </c>
      <c r="J18" s="8">
        <v>5</v>
      </c>
      <c r="K18" s="8" t="str">
        <f t="shared" si="4"/>
        <v>Tidak Lulus</v>
      </c>
      <c r="L18" s="10">
        <f t="shared" si="1"/>
        <v>60.5</v>
      </c>
      <c r="M18" s="11">
        <f t="shared" si="2"/>
        <v>0.13846153846153847</v>
      </c>
      <c r="N18" s="8" t="str">
        <f t="shared" si="3"/>
        <v>Cukup</v>
      </c>
    </row>
    <row r="19" spans="1:14" x14ac:dyDescent="0.25">
      <c r="A19" t="s">
        <v>17</v>
      </c>
      <c r="B19" s="8" t="s">
        <v>43</v>
      </c>
      <c r="C19" s="8" t="s">
        <v>57</v>
      </c>
      <c r="D19" s="8">
        <v>2024</v>
      </c>
      <c r="E19" s="8" t="s">
        <v>60</v>
      </c>
      <c r="F19" s="8">
        <v>62</v>
      </c>
      <c r="G19" s="8">
        <v>64</v>
      </c>
      <c r="H19" s="8">
        <v>113</v>
      </c>
      <c r="I19" s="12">
        <v>0.8</v>
      </c>
      <c r="J19" s="8">
        <v>3</v>
      </c>
      <c r="K19" s="8" t="str">
        <f t="shared" si="4"/>
        <v>Lulus</v>
      </c>
      <c r="L19" s="10">
        <f t="shared" si="1"/>
        <v>63</v>
      </c>
      <c r="M19" s="11">
        <f t="shared" si="2"/>
        <v>3.125E-2</v>
      </c>
      <c r="N19" s="8" t="str">
        <f t="shared" si="3"/>
        <v>Cukup</v>
      </c>
    </row>
    <row r="20" spans="1:14" x14ac:dyDescent="0.25">
      <c r="A20" t="s">
        <v>18</v>
      </c>
      <c r="B20" s="8" t="s">
        <v>44</v>
      </c>
      <c r="C20" s="8" t="s">
        <v>54</v>
      </c>
      <c r="D20" s="8">
        <v>2025</v>
      </c>
      <c r="E20" s="8" t="s">
        <v>60</v>
      </c>
      <c r="F20" s="8">
        <v>62</v>
      </c>
      <c r="G20" s="8">
        <v>77</v>
      </c>
      <c r="H20" s="8">
        <v>97</v>
      </c>
      <c r="I20" s="9">
        <v>0.7</v>
      </c>
      <c r="J20" s="8">
        <v>2</v>
      </c>
      <c r="K20" s="8" t="str">
        <f t="shared" si="4"/>
        <v>Tidak Lulus</v>
      </c>
      <c r="L20" s="10">
        <f t="shared" si="1"/>
        <v>69.5</v>
      </c>
      <c r="M20" s="11">
        <f t="shared" si="2"/>
        <v>0.19480519480519481</v>
      </c>
      <c r="N20" s="8" t="str">
        <f t="shared" si="3"/>
        <v>Harus Ditingkatkan</v>
      </c>
    </row>
    <row r="21" spans="1:14" x14ac:dyDescent="0.25">
      <c r="A21" t="s">
        <v>19</v>
      </c>
      <c r="B21" s="8" t="s">
        <v>45</v>
      </c>
      <c r="C21" s="8" t="s">
        <v>55</v>
      </c>
      <c r="D21" s="8">
        <v>2022</v>
      </c>
      <c r="E21" s="8" t="s">
        <v>60</v>
      </c>
      <c r="F21" s="8">
        <v>84</v>
      </c>
      <c r="G21" s="8">
        <v>88</v>
      </c>
      <c r="H21" s="8">
        <v>98</v>
      </c>
      <c r="I21" s="12">
        <v>0.85</v>
      </c>
      <c r="J21" s="8">
        <v>5</v>
      </c>
      <c r="K21" s="8" t="str">
        <f t="shared" si="4"/>
        <v>Lulus</v>
      </c>
      <c r="L21" s="10">
        <f t="shared" si="1"/>
        <v>86</v>
      </c>
      <c r="M21" s="11">
        <f t="shared" si="2"/>
        <v>4.5454545454545456E-2</v>
      </c>
      <c r="N21" s="8" t="str">
        <f t="shared" si="3"/>
        <v>Bagus</v>
      </c>
    </row>
    <row r="22" spans="1:14" x14ac:dyDescent="0.25">
      <c r="A22" t="s">
        <v>20</v>
      </c>
      <c r="B22" s="8" t="s">
        <v>46</v>
      </c>
      <c r="C22" s="8" t="s">
        <v>52</v>
      </c>
      <c r="D22" s="8">
        <v>2023</v>
      </c>
      <c r="E22" s="8" t="s">
        <v>61</v>
      </c>
      <c r="F22" s="8">
        <v>78</v>
      </c>
      <c r="G22" s="8">
        <v>81</v>
      </c>
      <c r="H22" s="8">
        <v>56</v>
      </c>
      <c r="I22" s="9">
        <v>0.85</v>
      </c>
      <c r="J22" s="8">
        <v>3</v>
      </c>
      <c r="K22" s="8" t="str">
        <f t="shared" si="4"/>
        <v>Lulus</v>
      </c>
      <c r="L22" s="10">
        <f t="shared" si="1"/>
        <v>79.5</v>
      </c>
      <c r="M22" s="11">
        <f t="shared" si="2"/>
        <v>3.7037037037037035E-2</v>
      </c>
      <c r="N22" s="8" t="str">
        <f t="shared" si="3"/>
        <v>Cukup</v>
      </c>
    </row>
    <row r="23" spans="1:14" x14ac:dyDescent="0.25">
      <c r="A23" t="s">
        <v>21</v>
      </c>
      <c r="B23" s="8" t="s">
        <v>47</v>
      </c>
      <c r="C23" s="8" t="s">
        <v>53</v>
      </c>
      <c r="D23" s="8">
        <v>2024</v>
      </c>
      <c r="E23" s="8" t="s">
        <v>60</v>
      </c>
      <c r="F23" s="8">
        <v>82</v>
      </c>
      <c r="G23" s="8">
        <v>100</v>
      </c>
      <c r="H23" s="8">
        <v>66</v>
      </c>
      <c r="I23" s="9">
        <v>0.75</v>
      </c>
      <c r="J23" s="8">
        <v>2</v>
      </c>
      <c r="K23" s="8" t="str">
        <f t="shared" si="4"/>
        <v>Tidak Lulus</v>
      </c>
      <c r="L23" s="10">
        <f t="shared" si="1"/>
        <v>91</v>
      </c>
      <c r="M23" s="11">
        <f t="shared" si="2"/>
        <v>0.18</v>
      </c>
      <c r="N23" s="8" t="str">
        <f t="shared" si="3"/>
        <v>Cukup</v>
      </c>
    </row>
    <row r="24" spans="1:14" x14ac:dyDescent="0.25">
      <c r="A24" t="s">
        <v>22</v>
      </c>
      <c r="B24" s="8" t="s">
        <v>48</v>
      </c>
      <c r="C24" s="8" t="s">
        <v>57</v>
      </c>
      <c r="D24" s="8">
        <v>2025</v>
      </c>
      <c r="E24" s="8" t="s">
        <v>62</v>
      </c>
      <c r="F24" s="8">
        <v>74</v>
      </c>
      <c r="G24" s="8">
        <v>89</v>
      </c>
      <c r="H24" s="8">
        <v>121</v>
      </c>
      <c r="I24" s="9">
        <v>0.75</v>
      </c>
      <c r="J24" s="8">
        <v>3</v>
      </c>
      <c r="K24" s="8" t="str">
        <f t="shared" si="4"/>
        <v>Tidak Lulus</v>
      </c>
      <c r="L24" s="10">
        <f t="shared" si="1"/>
        <v>81.5</v>
      </c>
      <c r="M24" s="11">
        <f t="shared" si="2"/>
        <v>0.16853932584269662</v>
      </c>
      <c r="N24" s="8" t="str">
        <f t="shared" si="3"/>
        <v>Cukup</v>
      </c>
    </row>
    <row r="25" spans="1:14" x14ac:dyDescent="0.25">
      <c r="A25" t="s">
        <v>23</v>
      </c>
      <c r="B25" s="8" t="s">
        <v>49</v>
      </c>
      <c r="C25" s="8" t="s">
        <v>54</v>
      </c>
      <c r="D25" s="8">
        <v>2022</v>
      </c>
      <c r="E25" s="8" t="s">
        <v>60</v>
      </c>
      <c r="F25" s="8">
        <v>69</v>
      </c>
      <c r="G25" s="8">
        <v>92</v>
      </c>
      <c r="H25" s="8">
        <v>50</v>
      </c>
      <c r="I25" s="9">
        <v>0.8</v>
      </c>
      <c r="J25" s="8">
        <v>4</v>
      </c>
      <c r="K25" s="8" t="str">
        <f t="shared" si="4"/>
        <v>Lulus</v>
      </c>
      <c r="L25" s="10">
        <f t="shared" si="1"/>
        <v>80.5</v>
      </c>
      <c r="M25" s="11">
        <f t="shared" si="2"/>
        <v>0.25</v>
      </c>
      <c r="N25" s="8" t="str">
        <f t="shared" si="3"/>
        <v>Cukup</v>
      </c>
    </row>
    <row r="26" spans="1:14" x14ac:dyDescent="0.25">
      <c r="A26" t="s">
        <v>24</v>
      </c>
      <c r="B26" s="8" t="s">
        <v>50</v>
      </c>
      <c r="C26" s="8" t="s">
        <v>55</v>
      </c>
      <c r="D26" s="8">
        <v>2023</v>
      </c>
      <c r="E26" s="8" t="s">
        <v>60</v>
      </c>
      <c r="F26" s="8">
        <v>59</v>
      </c>
      <c r="G26" s="8">
        <v>81</v>
      </c>
      <c r="H26" s="8">
        <v>94</v>
      </c>
      <c r="I26" s="9">
        <v>0.85</v>
      </c>
      <c r="J26" s="8">
        <v>4</v>
      </c>
      <c r="K26" s="8" t="str">
        <f t="shared" si="4"/>
        <v>Lulus</v>
      </c>
      <c r="L26" s="10">
        <f t="shared" si="1"/>
        <v>70</v>
      </c>
      <c r="M26" s="11">
        <f t="shared" si="2"/>
        <v>0.27160493827160492</v>
      </c>
      <c r="N26" s="8" t="str">
        <f t="shared" si="3"/>
        <v>Cukup</v>
      </c>
    </row>
    <row r="27" spans="1:14" x14ac:dyDescent="0.25">
      <c r="A27" t="s">
        <v>25</v>
      </c>
      <c r="B27" s="8" t="s">
        <v>51</v>
      </c>
      <c r="C27" s="8" t="s">
        <v>52</v>
      </c>
      <c r="D27" s="8">
        <v>2024</v>
      </c>
      <c r="E27" s="8" t="s">
        <v>60</v>
      </c>
      <c r="F27" s="8">
        <v>53</v>
      </c>
      <c r="G27" s="8">
        <v>73</v>
      </c>
      <c r="H27" s="8">
        <v>117</v>
      </c>
      <c r="I27" s="9">
        <v>0.95</v>
      </c>
      <c r="J27" s="8">
        <v>5</v>
      </c>
      <c r="K27" s="8" t="str">
        <f t="shared" si="4"/>
        <v>Lulus</v>
      </c>
      <c r="L27" s="10">
        <f t="shared" si="1"/>
        <v>63</v>
      </c>
      <c r="M27" s="11">
        <f t="shared" si="2"/>
        <v>0.27397260273972601</v>
      </c>
      <c r="N27" s="8" t="str">
        <f t="shared" si="3"/>
        <v>Cukup</v>
      </c>
    </row>
    <row r="28" spans="1:14" x14ac:dyDescent="0.25">
      <c r="N28" s="13"/>
    </row>
    <row r="30" spans="1:14" x14ac:dyDescent="0.25">
      <c r="B30" t="s">
        <v>80</v>
      </c>
    </row>
    <row r="31" spans="1:14" x14ac:dyDescent="0.25">
      <c r="B31" s="3" t="s">
        <v>84</v>
      </c>
      <c r="C31" s="3" t="s">
        <v>85</v>
      </c>
    </row>
    <row r="32" spans="1:14" x14ac:dyDescent="0.25">
      <c r="B32" s="3" t="s">
        <v>77</v>
      </c>
      <c r="C32" t="s">
        <v>81</v>
      </c>
      <c r="D32" t="s">
        <v>82</v>
      </c>
      <c r="E32" t="s">
        <v>83</v>
      </c>
      <c r="F32" t="s">
        <v>78</v>
      </c>
    </row>
    <row r="33" spans="2:6" x14ac:dyDescent="0.25">
      <c r="B33" s="4" t="s">
        <v>55</v>
      </c>
      <c r="C33" s="5">
        <v>2</v>
      </c>
      <c r="D33" s="5">
        <v>3</v>
      </c>
      <c r="E33" s="5"/>
      <c r="F33" s="5">
        <v>5</v>
      </c>
    </row>
    <row r="34" spans="2:6" x14ac:dyDescent="0.25">
      <c r="B34" s="6">
        <v>2022</v>
      </c>
      <c r="C34" s="5">
        <v>1</v>
      </c>
      <c r="D34" s="5"/>
      <c r="E34" s="5"/>
      <c r="F34" s="5">
        <v>1</v>
      </c>
    </row>
    <row r="35" spans="2:6" x14ac:dyDescent="0.25">
      <c r="B35" s="6">
        <v>2023</v>
      </c>
      <c r="C35" s="5"/>
      <c r="D35" s="5">
        <v>2</v>
      </c>
      <c r="E35" s="5"/>
      <c r="F35" s="5">
        <v>2</v>
      </c>
    </row>
    <row r="36" spans="2:6" x14ac:dyDescent="0.25">
      <c r="B36" s="6">
        <v>2024</v>
      </c>
      <c r="C36" s="5"/>
      <c r="D36" s="5">
        <v>1</v>
      </c>
      <c r="E36" s="5"/>
      <c r="F36" s="5">
        <v>1</v>
      </c>
    </row>
    <row r="37" spans="2:6" x14ac:dyDescent="0.25">
      <c r="B37" s="6">
        <v>2025</v>
      </c>
      <c r="C37" s="5">
        <v>1</v>
      </c>
      <c r="D37" s="5"/>
      <c r="E37" s="5"/>
      <c r="F37" s="5">
        <v>1</v>
      </c>
    </row>
    <row r="38" spans="2:6" x14ac:dyDescent="0.25">
      <c r="B38" s="4" t="s">
        <v>57</v>
      </c>
      <c r="C38" s="5"/>
      <c r="D38" s="5">
        <v>2</v>
      </c>
      <c r="E38" s="5">
        <v>1</v>
      </c>
      <c r="F38" s="5">
        <v>3</v>
      </c>
    </row>
    <row r="39" spans="2:6" x14ac:dyDescent="0.25">
      <c r="B39" s="6">
        <v>2022</v>
      </c>
      <c r="C39" s="5"/>
      <c r="D39" s="5"/>
      <c r="E39" s="5">
        <v>1</v>
      </c>
      <c r="F39" s="5">
        <v>1</v>
      </c>
    </row>
    <row r="40" spans="2:6" x14ac:dyDescent="0.25">
      <c r="B40" s="6">
        <v>2024</v>
      </c>
      <c r="C40" s="5"/>
      <c r="D40" s="5">
        <v>1</v>
      </c>
      <c r="E40" s="5"/>
      <c r="F40" s="5">
        <v>1</v>
      </c>
    </row>
    <row r="41" spans="2:6" x14ac:dyDescent="0.25">
      <c r="B41" s="6">
        <v>2025</v>
      </c>
      <c r="C41" s="5"/>
      <c r="D41" s="5">
        <v>1</v>
      </c>
      <c r="E41" s="5"/>
      <c r="F41" s="5">
        <v>1</v>
      </c>
    </row>
    <row r="42" spans="2:6" x14ac:dyDescent="0.25">
      <c r="B42" s="4" t="s">
        <v>52</v>
      </c>
      <c r="C42" s="5">
        <v>3</v>
      </c>
      <c r="D42" s="5">
        <v>4</v>
      </c>
      <c r="E42" s="5"/>
      <c r="F42" s="5">
        <v>7</v>
      </c>
    </row>
    <row r="43" spans="2:6" x14ac:dyDescent="0.25">
      <c r="B43" s="6">
        <v>2022</v>
      </c>
      <c r="C43" s="5">
        <v>1</v>
      </c>
      <c r="D43" s="5"/>
      <c r="E43" s="5"/>
      <c r="F43" s="5">
        <v>1</v>
      </c>
    </row>
    <row r="44" spans="2:6" x14ac:dyDescent="0.25">
      <c r="B44" s="6">
        <v>2023</v>
      </c>
      <c r="C44" s="5">
        <v>1</v>
      </c>
      <c r="D44" s="5">
        <v>1</v>
      </c>
      <c r="E44" s="5"/>
      <c r="F44" s="5">
        <v>2</v>
      </c>
    </row>
    <row r="45" spans="2:6" x14ac:dyDescent="0.25">
      <c r="B45" s="6">
        <v>2024</v>
      </c>
      <c r="C45" s="5"/>
      <c r="D45" s="5">
        <v>2</v>
      </c>
      <c r="E45" s="5"/>
      <c r="F45" s="5">
        <v>2</v>
      </c>
    </row>
    <row r="46" spans="2:6" x14ac:dyDescent="0.25">
      <c r="B46" s="6">
        <v>2025</v>
      </c>
      <c r="C46" s="5">
        <v>1</v>
      </c>
      <c r="D46" s="5">
        <v>1</v>
      </c>
      <c r="E46" s="5"/>
      <c r="F46" s="5">
        <v>2</v>
      </c>
    </row>
    <row r="47" spans="2:6" x14ac:dyDescent="0.25">
      <c r="B47" s="4" t="s">
        <v>54</v>
      </c>
      <c r="C47" s="5">
        <v>1</v>
      </c>
      <c r="D47" s="5">
        <v>2</v>
      </c>
      <c r="E47" s="5">
        <v>1</v>
      </c>
      <c r="F47" s="5">
        <v>4</v>
      </c>
    </row>
    <row r="48" spans="2:6" x14ac:dyDescent="0.25">
      <c r="B48" s="6">
        <v>2022</v>
      </c>
      <c r="C48" s="5"/>
      <c r="D48" s="5">
        <v>2</v>
      </c>
      <c r="E48" s="5"/>
      <c r="F48" s="5">
        <v>2</v>
      </c>
    </row>
    <row r="49" spans="2:14" x14ac:dyDescent="0.25">
      <c r="B49" s="6">
        <v>2024</v>
      </c>
      <c r="C49" s="5">
        <v>1</v>
      </c>
      <c r="D49" s="5"/>
      <c r="E49" s="5"/>
      <c r="F49" s="5">
        <v>1</v>
      </c>
    </row>
    <row r="50" spans="2:14" x14ac:dyDescent="0.25">
      <c r="B50" s="6">
        <v>2025</v>
      </c>
      <c r="C50" s="5"/>
      <c r="D50" s="5"/>
      <c r="E50" s="5">
        <v>1</v>
      </c>
      <c r="F50" s="5">
        <v>1</v>
      </c>
    </row>
    <row r="51" spans="2:14" x14ac:dyDescent="0.25">
      <c r="B51" s="4" t="s">
        <v>53</v>
      </c>
      <c r="C51" s="5"/>
      <c r="D51" s="5">
        <v>4</v>
      </c>
      <c r="E51" s="5">
        <v>3</v>
      </c>
      <c r="F51" s="5">
        <v>7</v>
      </c>
      <c r="N51" s="1"/>
    </row>
    <row r="52" spans="2:14" x14ac:dyDescent="0.25">
      <c r="B52" s="6">
        <v>2022</v>
      </c>
      <c r="C52" s="5"/>
      <c r="D52" s="5"/>
      <c r="E52" s="5">
        <v>1</v>
      </c>
      <c r="F52" s="5">
        <v>1</v>
      </c>
      <c r="N52" s="1"/>
    </row>
    <row r="53" spans="2:14" x14ac:dyDescent="0.25">
      <c r="B53" s="6">
        <v>2023</v>
      </c>
      <c r="C53" s="5"/>
      <c r="D53" s="5">
        <v>2</v>
      </c>
      <c r="E53" s="5">
        <v>1</v>
      </c>
      <c r="F53" s="5">
        <v>3</v>
      </c>
      <c r="N53" s="1"/>
    </row>
    <row r="54" spans="2:14" x14ac:dyDescent="0.25">
      <c r="B54" s="6">
        <v>2024</v>
      </c>
      <c r="C54" s="5"/>
      <c r="D54" s="5">
        <v>1</v>
      </c>
      <c r="E54" s="5">
        <v>1</v>
      </c>
      <c r="F54" s="5">
        <v>2</v>
      </c>
    </row>
    <row r="55" spans="2:14" x14ac:dyDescent="0.25">
      <c r="B55" s="6">
        <v>2025</v>
      </c>
      <c r="C55" s="5"/>
      <c r="D55" s="5">
        <v>1</v>
      </c>
      <c r="E55" s="5"/>
      <c r="F55" s="5">
        <v>1</v>
      </c>
    </row>
    <row r="56" spans="2:14" x14ac:dyDescent="0.25">
      <c r="B56" s="4" t="s">
        <v>78</v>
      </c>
      <c r="C56" s="5">
        <v>6</v>
      </c>
      <c r="D56" s="5">
        <v>15</v>
      </c>
      <c r="E56" s="5">
        <v>5</v>
      </c>
      <c r="F56" s="5">
        <v>26</v>
      </c>
      <c r="N56" t="s">
        <v>93</v>
      </c>
    </row>
    <row r="57" spans="2:14" ht="42.75" customHeight="1" x14ac:dyDescent="0.25">
      <c r="N57" s="1" t="s">
        <v>86</v>
      </c>
    </row>
    <row r="58" spans="2:14" ht="60" customHeight="1" x14ac:dyDescent="0.25">
      <c r="B58" s="3" t="s">
        <v>90</v>
      </c>
      <c r="C58" s="3" t="s">
        <v>85</v>
      </c>
      <c r="N58" s="1" t="s">
        <v>92</v>
      </c>
    </row>
    <row r="59" spans="2:14" ht="45.75" customHeight="1" x14ac:dyDescent="0.25">
      <c r="B59" s="3" t="s">
        <v>77</v>
      </c>
      <c r="C59" t="s">
        <v>88</v>
      </c>
      <c r="D59" t="s">
        <v>89</v>
      </c>
      <c r="E59" t="s">
        <v>78</v>
      </c>
      <c r="N59" s="1" t="s">
        <v>91</v>
      </c>
    </row>
    <row r="60" spans="2:14" x14ac:dyDescent="0.25">
      <c r="B60" s="4" t="s">
        <v>55</v>
      </c>
      <c r="C60" s="5">
        <v>4</v>
      </c>
      <c r="D60" s="5">
        <v>1</v>
      </c>
      <c r="E60" s="5">
        <v>5</v>
      </c>
    </row>
    <row r="61" spans="2:14" x14ac:dyDescent="0.25">
      <c r="B61" s="4" t="s">
        <v>57</v>
      </c>
      <c r="C61" s="5">
        <v>2</v>
      </c>
      <c r="D61" s="5">
        <v>1</v>
      </c>
      <c r="E61" s="5">
        <v>3</v>
      </c>
    </row>
    <row r="62" spans="2:14" x14ac:dyDescent="0.25">
      <c r="B62" s="4" t="s">
        <v>52</v>
      </c>
      <c r="C62" s="5">
        <v>5</v>
      </c>
      <c r="D62" s="5">
        <v>2</v>
      </c>
      <c r="E62" s="5">
        <v>7</v>
      </c>
    </row>
    <row r="63" spans="2:14" x14ac:dyDescent="0.25">
      <c r="B63" s="4" t="s">
        <v>54</v>
      </c>
      <c r="C63" s="5">
        <v>3</v>
      </c>
      <c r="D63" s="5">
        <v>1</v>
      </c>
      <c r="E63" s="5">
        <v>4</v>
      </c>
    </row>
    <row r="64" spans="2:14" x14ac:dyDescent="0.25">
      <c r="B64" s="4" t="s">
        <v>53</v>
      </c>
      <c r="C64" s="5">
        <v>2</v>
      </c>
      <c r="D64" s="5">
        <v>5</v>
      </c>
      <c r="E64" s="5">
        <v>7</v>
      </c>
    </row>
    <row r="65" spans="2:5" x14ac:dyDescent="0.25">
      <c r="B65" s="4" t="s">
        <v>78</v>
      </c>
      <c r="C65" s="5">
        <v>16</v>
      </c>
      <c r="D65" s="5">
        <v>10</v>
      </c>
      <c r="E65" s="5">
        <v>26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Data_Mentah</vt:lpstr>
      <vt:lpstr>Data_Bersih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UKDW E-01</dc:creator>
  <cp:lastModifiedBy>UKDW E-01</cp:lastModifiedBy>
  <dcterms:created xsi:type="dcterms:W3CDTF">2026-10-22T08:39:54Z</dcterms:created>
  <dcterms:modified xsi:type="dcterms:W3CDTF">2026-10-22T10:19:46Z</dcterms:modified>
</cp:coreProperties>
</file>